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730" windowHeight="11760"/>
  </bookViews>
  <sheets>
    <sheet name="Sheet1" sheetId="2" r:id="rId1"/>
    <sheet name="qrySales" sheetId="1" r:id="rId2"/>
  </sheets>
  <definedNames>
    <definedName name="qrySales">qrySales!$A$1:$L$2156</definedName>
  </definedName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M3" i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"/>
</calcChain>
</file>

<file path=xl/sharedStrings.xml><?xml version="1.0" encoding="utf-8"?>
<sst xmlns="http://schemas.openxmlformats.org/spreadsheetml/2006/main" count="18121" uniqueCount="414">
  <si>
    <t>CustomerID</t>
  </si>
  <si>
    <t>CustomerName</t>
  </si>
  <si>
    <t>OrderDate</t>
  </si>
  <si>
    <t>ProductName</t>
  </si>
  <si>
    <t>EmployeeName</t>
  </si>
  <si>
    <t>SupplierName</t>
  </si>
  <si>
    <t>Paid?</t>
  </si>
  <si>
    <t>CustomerCountry</t>
  </si>
  <si>
    <t>CustomerState/Region</t>
  </si>
  <si>
    <t>CustomerCity</t>
  </si>
  <si>
    <t>UnitPrice</t>
  </si>
  <si>
    <t>Quantity</t>
  </si>
  <si>
    <t>1090</t>
  </si>
  <si>
    <t>Aakash  Patel</t>
  </si>
  <si>
    <t>Tourtière</t>
  </si>
  <si>
    <t>Janet Leverling</t>
  </si>
  <si>
    <t>Ma Maison</t>
  </si>
  <si>
    <t>Yes</t>
  </si>
  <si>
    <t>Finland</t>
  </si>
  <si>
    <t>Helsinki</t>
  </si>
  <si>
    <t>Pavlova</t>
  </si>
  <si>
    <t>Nancy Davolio</t>
  </si>
  <si>
    <t>Pavlova, Ltd.</t>
  </si>
  <si>
    <t>Northwoods Cranberry Sauce</t>
  </si>
  <si>
    <t>Margaret Peacock</t>
  </si>
  <si>
    <t>Grandma Kelly's Homestead</t>
  </si>
  <si>
    <t>Chef Anton's Cajun Seasoning</t>
  </si>
  <si>
    <t>New Orleans Cajun Delights</t>
  </si>
  <si>
    <t>Sirop d'érable</t>
  </si>
  <si>
    <t>Forêts d'érables</t>
  </si>
  <si>
    <t>Gumbär Gummibärchen</t>
  </si>
  <si>
    <t>Heli Süßwaren GmbH &amp; Co. KG</t>
  </si>
  <si>
    <t>Perth Pasties</t>
  </si>
  <si>
    <t>G'day, Mate</t>
  </si>
  <si>
    <t>Sir Rodney's Scones</t>
  </si>
  <si>
    <t>Specialty Biscuits, Ltd.</t>
  </si>
  <si>
    <t>Chang</t>
  </si>
  <si>
    <t>Exotic Liquids</t>
  </si>
  <si>
    <t>Tarte au sucre</t>
  </si>
  <si>
    <t>No</t>
  </si>
  <si>
    <t>Geitost</t>
  </si>
  <si>
    <t>Norske Meierier</t>
  </si>
  <si>
    <t>Carnarvon Tigers</t>
  </si>
  <si>
    <t>Gudbrandsdalsost</t>
  </si>
  <si>
    <t>Steeleye Stout</t>
  </si>
  <si>
    <t>Bigfoot Breweries</t>
  </si>
  <si>
    <t>Mishi Kobe Niku</t>
  </si>
  <si>
    <t>Tokyo Traders</t>
  </si>
  <si>
    <t>Alice Mutton</t>
  </si>
  <si>
    <t>Original Frankfurter grüne Soße</t>
  </si>
  <si>
    <t>Robert King</t>
  </si>
  <si>
    <t>Plutzer Lebensmittelgroßmärkte AG</t>
  </si>
  <si>
    <t>Raclette Courdavault</t>
  </si>
  <si>
    <t>Andrew Fuller</t>
  </si>
  <si>
    <t>Gai pâturage</t>
  </si>
  <si>
    <t>Côte de Blaye</t>
  </si>
  <si>
    <t>Aux joyeux ecclésiastiques</t>
  </si>
  <si>
    <t>Inlagd Sill</t>
  </si>
  <si>
    <t>Svensk Sjöföda AB</t>
  </si>
  <si>
    <t>Sasquatch Ale</t>
  </si>
  <si>
    <t>Røgede sild</t>
  </si>
  <si>
    <t>Lyngbysild</t>
  </si>
  <si>
    <t>Gnocchi di nonna Alice</t>
  </si>
  <si>
    <t>Pasta Buttini s.r.l.</t>
  </si>
  <si>
    <t>Teatime Chocolate Biscuits</t>
  </si>
  <si>
    <t>Röd Kaviar</t>
  </si>
  <si>
    <t>Steven Buchanan</t>
  </si>
  <si>
    <t>Laura Callahan</t>
  </si>
  <si>
    <t>Escargots de Bourgogne</t>
  </si>
  <si>
    <t>Escargots Nouveaux</t>
  </si>
  <si>
    <t>Spegesild</t>
  </si>
  <si>
    <t>Rhönbräu Klosterbier</t>
  </si>
  <si>
    <t>Vegie-spread</t>
  </si>
  <si>
    <t>Gula Malacca</t>
  </si>
  <si>
    <t>Leka Trading</t>
  </si>
  <si>
    <t>Mozzarella di Giovanni</t>
  </si>
  <si>
    <t>Formaggi Fortini s.r.l.</t>
  </si>
  <si>
    <t>Rössle Sauerkraut</t>
  </si>
  <si>
    <t>1076</t>
  </si>
  <si>
    <t>Abigail  Sandoe</t>
  </si>
  <si>
    <t>Belgium</t>
  </si>
  <si>
    <t>Charleroi</t>
  </si>
  <si>
    <t>Scottish Longbreads</t>
  </si>
  <si>
    <t>Nord-Ost Matjeshering</t>
  </si>
  <si>
    <t>Nord-Ost-Fisch Handelsgesellschaft mbH</t>
  </si>
  <si>
    <t>Manjimup Dried Apples</t>
  </si>
  <si>
    <t>Camembert Pierrot</t>
  </si>
  <si>
    <t>Uncle Bob's Organic Dried Pears</t>
  </si>
  <si>
    <t>Thüringer Rostbratwurst</t>
  </si>
  <si>
    <t>Michael Suyama</t>
  </si>
  <si>
    <t>1029</t>
  </si>
  <si>
    <t>Alex  Travers</t>
  </si>
  <si>
    <t>Spain</t>
  </si>
  <si>
    <t>Barcelona</t>
  </si>
  <si>
    <t>Ipoh Coffee</t>
  </si>
  <si>
    <t>Louisiana Fiery Hot Pepper Sauce</t>
  </si>
  <si>
    <t>Lakkalikööri</t>
  </si>
  <si>
    <t>Karkki Oy</t>
  </si>
  <si>
    <t>Guaraná Fantástica</t>
  </si>
  <si>
    <t>Refrescos Americanas LTDA</t>
  </si>
  <si>
    <t>Chocolade</t>
  </si>
  <si>
    <t>Zaanse Snoepfabriek</t>
  </si>
  <si>
    <t>Ikura</t>
  </si>
  <si>
    <t>Anne Dodsworth</t>
  </si>
  <si>
    <t>1061</t>
  </si>
  <si>
    <t>Alexander  Seymour</t>
  </si>
  <si>
    <t>Brazil</t>
  </si>
  <si>
    <t>RJ</t>
  </si>
  <si>
    <t>Rio de Janeiro</t>
  </si>
  <si>
    <t>Chartreuse verte</t>
  </si>
  <si>
    <t>Singaporean Hokkien Fried Mee</t>
  </si>
  <si>
    <t>Chai</t>
  </si>
  <si>
    <t>1068</t>
  </si>
  <si>
    <t>Allison  Mackown</t>
  </si>
  <si>
    <t>Switzerland</t>
  </si>
  <si>
    <t>Genève</t>
  </si>
  <si>
    <t>Outback Lager</t>
  </si>
  <si>
    <t>Gustaf's Knäckebröd</t>
  </si>
  <si>
    <t>PB Knäckebröd AB</t>
  </si>
  <si>
    <t>Maxilaku</t>
  </si>
  <si>
    <t>Filo Mix</t>
  </si>
  <si>
    <t>Fløtemysost</t>
  </si>
  <si>
    <t>NuNuCa Nuß-Nougat-Creme</t>
  </si>
  <si>
    <t>Ravioli Angelo</t>
  </si>
  <si>
    <t>Konbu</t>
  </si>
  <si>
    <t>Mayumi's</t>
  </si>
  <si>
    <t>1073</t>
  </si>
  <si>
    <t>Allison  Piatt</t>
  </si>
  <si>
    <t>Denmark</t>
  </si>
  <si>
    <t>København</t>
  </si>
  <si>
    <t>Tunnbröd</t>
  </si>
  <si>
    <t>Queso Cabrales</t>
  </si>
  <si>
    <t>Las Cabras</t>
  </si>
  <si>
    <t>Jack's New England Clam Chowder</t>
  </si>
  <si>
    <t>New England Seafood Cannery</t>
  </si>
  <si>
    <t>Gravad lax</t>
  </si>
  <si>
    <t>Sir Rodney's Marmalade</t>
  </si>
  <si>
    <t>Gorgonzola Telino</t>
  </si>
  <si>
    <t>Mascarpone Fabioli</t>
  </si>
  <si>
    <t>1086</t>
  </si>
  <si>
    <t>Arlene  Cline</t>
  </si>
  <si>
    <t>Germany</t>
  </si>
  <si>
    <t>Stuttgart</t>
  </si>
  <si>
    <t>1066</t>
  </si>
  <si>
    <t>Austin  Klingensmith</t>
  </si>
  <si>
    <t>Italy</t>
  </si>
  <si>
    <t>Reggio Emilia</t>
  </si>
  <si>
    <t>Wimmers gute Semmelknödel</t>
  </si>
  <si>
    <t>Pâté chinois</t>
  </si>
  <si>
    <t>Chef Anton's Gumbo Mix</t>
  </si>
  <si>
    <t>Schoggi Schokolade</t>
  </si>
  <si>
    <t>Aniseed Syrup</t>
  </si>
  <si>
    <t>Louisiana Hot Spiced Okra</t>
  </si>
  <si>
    <t>Tofu</t>
  </si>
  <si>
    <t>Queso Manchego La Pastora</t>
  </si>
  <si>
    <t>Grandma's Boysenberry Spread</t>
  </si>
  <si>
    <t>1075</t>
  </si>
  <si>
    <t>Austin  Robbins</t>
  </si>
  <si>
    <t>USA</t>
  </si>
  <si>
    <t>WY</t>
  </si>
  <si>
    <t>Lander</t>
  </si>
  <si>
    <t>1043</t>
  </si>
  <si>
    <t>Bijan  Hosseinzadeh</t>
  </si>
  <si>
    <t>WA</t>
  </si>
  <si>
    <t>Walla Walla</t>
  </si>
  <si>
    <t>1004</t>
  </si>
  <si>
    <t>Billy  Caton</t>
  </si>
  <si>
    <t>UK</t>
  </si>
  <si>
    <t>London</t>
  </si>
  <si>
    <t>Valkoinen suklaa</t>
  </si>
  <si>
    <t>Zaanse koeken</t>
  </si>
  <si>
    <t>Laughing Lumberjack Lager</t>
  </si>
  <si>
    <t>1016</t>
  </si>
  <si>
    <t>Bradley  Hunt</t>
  </si>
  <si>
    <t>1047</t>
  </si>
  <si>
    <t>Bradley  Keith</t>
  </si>
  <si>
    <t>Venezuela</t>
  </si>
  <si>
    <t>Nueva Esparta</t>
  </si>
  <si>
    <t>I. de Margarita</t>
  </si>
  <si>
    <t>Longlife Tofu</t>
  </si>
  <si>
    <t>Genen Shouyu</t>
  </si>
  <si>
    <t>1091</t>
  </si>
  <si>
    <t>Brigid  Nodonly</t>
  </si>
  <si>
    <t>Poland</t>
  </si>
  <si>
    <t>Warszawa</t>
  </si>
  <si>
    <t>Boston Crab Meat</t>
  </si>
  <si>
    <t>1067</t>
  </si>
  <si>
    <t>Brittany  Leaird</t>
  </si>
  <si>
    <t>1088</t>
  </si>
  <si>
    <t>Charles  Worden</t>
  </si>
  <si>
    <t>SP</t>
  </si>
  <si>
    <t>Resende</t>
  </si>
  <si>
    <t>1044</t>
  </si>
  <si>
    <t>Chris  Huk</t>
  </si>
  <si>
    <t>Frankfurt a.M.</t>
  </si>
  <si>
    <t>1034</t>
  </si>
  <si>
    <t>Christopher  Beach</t>
  </si>
  <si>
    <t>1041</t>
  </si>
  <si>
    <t>Christopher  Griste</t>
  </si>
  <si>
    <t>France</t>
  </si>
  <si>
    <t>Toulouse</t>
  </si>
  <si>
    <t>1036</t>
  </si>
  <si>
    <t>Colin  Carroll</t>
  </si>
  <si>
    <t>OR</t>
  </si>
  <si>
    <t>Elgin</t>
  </si>
  <si>
    <t>1035</t>
  </si>
  <si>
    <t>Darcy  Burger</t>
  </si>
  <si>
    <t>Táchira</t>
  </si>
  <si>
    <t>San Cristóbal</t>
  </si>
  <si>
    <t>1013</t>
  </si>
  <si>
    <t>Darius  Hill</t>
  </si>
  <si>
    <t>Mexico</t>
  </si>
  <si>
    <t>México D.F.</t>
  </si>
  <si>
    <t>1051</t>
  </si>
  <si>
    <t>David  Lesser</t>
  </si>
  <si>
    <t>Canada</t>
  </si>
  <si>
    <t>Québec</t>
  </si>
  <si>
    <t>Montréal</t>
  </si>
  <si>
    <t>1006</t>
  </si>
  <si>
    <t>Diya  D'Sa</t>
  </si>
  <si>
    <t>Mannheim</t>
  </si>
  <si>
    <t>1015</t>
  </si>
  <si>
    <t>Emily  Hite</t>
  </si>
  <si>
    <t>São Paulo</t>
  </si>
  <si>
    <t>1056</t>
  </si>
  <si>
    <t>Erik  Pereyramorales</t>
  </si>
  <si>
    <t>Köln</t>
  </si>
  <si>
    <t>1002</t>
  </si>
  <si>
    <t>George  Burns</t>
  </si>
  <si>
    <t>1040</t>
  </si>
  <si>
    <t>Hayley  Greene</t>
  </si>
  <si>
    <t>Versailles</t>
  </si>
  <si>
    <t>1089</t>
  </si>
  <si>
    <t>Hogeun  Park</t>
  </si>
  <si>
    <t>Seattle</t>
  </si>
  <si>
    <t>1062</t>
  </si>
  <si>
    <t>Holly  Seymour</t>
  </si>
  <si>
    <t>1060</t>
  </si>
  <si>
    <t>Ian  Scheidemann</t>
  </si>
  <si>
    <t>Portugal</t>
  </si>
  <si>
    <t>Lisboa</t>
  </si>
  <si>
    <t>1005</t>
  </si>
  <si>
    <t>Ivan  Chikhale</t>
  </si>
  <si>
    <t>Sweden</t>
  </si>
  <si>
    <t>Luleå</t>
  </si>
  <si>
    <t>1045</t>
  </si>
  <si>
    <t>James  Humphreys</t>
  </si>
  <si>
    <t>CA</t>
  </si>
  <si>
    <t>San Francisco</t>
  </si>
  <si>
    <t>1031</t>
  </si>
  <si>
    <t>James  Williams</t>
  </si>
  <si>
    <t>Campinas</t>
  </si>
  <si>
    <t>1077</t>
  </si>
  <si>
    <t>Jared  Schwarz</t>
  </si>
  <si>
    <t>Portland</t>
  </si>
  <si>
    <t>1064</t>
  </si>
  <si>
    <t>Jena  Wilson</t>
  </si>
  <si>
    <t>Argentina</t>
  </si>
  <si>
    <t>Buenos Aires</t>
  </si>
  <si>
    <t>1050</t>
  </si>
  <si>
    <t>John  Leavitt</t>
  </si>
  <si>
    <t>Bruxelles</t>
  </si>
  <si>
    <t>1082</t>
  </si>
  <si>
    <t>John  Venincasa</t>
  </si>
  <si>
    <t>Kirkland</t>
  </si>
  <si>
    <t>1070</t>
  </si>
  <si>
    <t>Joseph  Mascolo</t>
  </si>
  <si>
    <t>Norway</t>
  </si>
  <si>
    <t>Stavern</t>
  </si>
  <si>
    <t>1046</t>
  </si>
  <si>
    <t>Joshua  Jones</t>
  </si>
  <si>
    <t>Lara</t>
  </si>
  <si>
    <t>Barquisimeto</t>
  </si>
  <si>
    <t>1003</t>
  </si>
  <si>
    <t>Justin  Cassell</t>
  </si>
  <si>
    <t>1052</t>
  </si>
  <si>
    <t>Justin  Manko</t>
  </si>
  <si>
    <t>Leipzig</t>
  </si>
  <si>
    <t>1078</t>
  </si>
  <si>
    <t>Kaitlyn  Sharrott</t>
  </si>
  <si>
    <t>MT</t>
  </si>
  <si>
    <t>Butte</t>
  </si>
  <si>
    <t>1065</t>
  </si>
  <si>
    <t>Katrina  Johnson</t>
  </si>
  <si>
    <t>NM</t>
  </si>
  <si>
    <t>Albuquerque</t>
  </si>
  <si>
    <t>1014</t>
  </si>
  <si>
    <t>Kayla  Hinman</t>
  </si>
  <si>
    <t>Bern</t>
  </si>
  <si>
    <t>1063</t>
  </si>
  <si>
    <t>Kayla  Thompson</t>
  </si>
  <si>
    <t>Cunewalde</t>
  </si>
  <si>
    <t>1032</t>
  </si>
  <si>
    <t>Kristen  Yingling</t>
  </si>
  <si>
    <t>Eugene</t>
  </si>
  <si>
    <t>1048</t>
  </si>
  <si>
    <t>Kyla  Kellogg</t>
  </si>
  <si>
    <t>1042</t>
  </si>
  <si>
    <t>Kyle  Hicks</t>
  </si>
  <si>
    <t>BC</t>
  </si>
  <si>
    <t>Vancouver</t>
  </si>
  <si>
    <t>1020</t>
  </si>
  <si>
    <t>Kyle  Markovic</t>
  </si>
  <si>
    <t>Austria</t>
  </si>
  <si>
    <t>Graz</t>
  </si>
  <si>
    <t>1024</t>
  </si>
  <si>
    <t>Kyle  Offerman</t>
  </si>
  <si>
    <t>Bräcke</t>
  </si>
  <si>
    <t>1027</t>
  </si>
  <si>
    <t>Kyle  Robrecht</t>
  </si>
  <si>
    <t>Torino</t>
  </si>
  <si>
    <t>1026</t>
  </si>
  <si>
    <t>Luke  Quidley</t>
  </si>
  <si>
    <t>Nantes</t>
  </si>
  <si>
    <t>1009</t>
  </si>
  <si>
    <t>Lyndsey  Gardner</t>
  </si>
  <si>
    <t>Marseille</t>
  </si>
  <si>
    <t>1033</t>
  </si>
  <si>
    <t>Mackenzie  Bainbridge</t>
  </si>
  <si>
    <t>DF</t>
  </si>
  <si>
    <t>Caracas</t>
  </si>
  <si>
    <t>1083</t>
  </si>
  <si>
    <t>Mahmoud  Yousif</t>
  </si>
  <si>
    <t>Århus</t>
  </si>
  <si>
    <t>1012</t>
  </si>
  <si>
    <t>Mark  Hilditch</t>
  </si>
  <si>
    <t>1085</t>
  </si>
  <si>
    <t>McKenzie  Dillon</t>
  </si>
  <si>
    <t>Reims</t>
  </si>
  <si>
    <t>1080</t>
  </si>
  <si>
    <t>Megan  Spence</t>
  </si>
  <si>
    <t>1030</t>
  </si>
  <si>
    <t>Meghan  Washington</t>
  </si>
  <si>
    <t>Sevilla</t>
  </si>
  <si>
    <t>1069</t>
  </si>
  <si>
    <t>Nicholas  Marshall</t>
  </si>
  <si>
    <t>Madrid</t>
  </si>
  <si>
    <t>1025</t>
  </si>
  <si>
    <t>Nicholas  Potter</t>
  </si>
  <si>
    <t>München</t>
  </si>
  <si>
    <t>1038</t>
  </si>
  <si>
    <t>Nickolye  Douglas</t>
  </si>
  <si>
    <t>Isle of Wight</t>
  </si>
  <si>
    <t>Cowes</t>
  </si>
  <si>
    <t>1021</t>
  </si>
  <si>
    <t>Nicole  Mihalos</t>
  </si>
  <si>
    <t>1084</t>
  </si>
  <si>
    <t>Osman Mohamed</t>
  </si>
  <si>
    <t>Lyon</t>
  </si>
  <si>
    <t>1074</t>
  </si>
  <si>
    <t>Patrick  Rizzieri</t>
  </si>
  <si>
    <t>Paris</t>
  </si>
  <si>
    <t>1087</t>
  </si>
  <si>
    <t>Paul  Byerly</t>
  </si>
  <si>
    <t>Oulu</t>
  </si>
  <si>
    <t>1019</t>
  </si>
  <si>
    <t>Peiyao  Lei</t>
  </si>
  <si>
    <t>1072</t>
  </si>
  <si>
    <t>Richard  Newman</t>
  </si>
  <si>
    <t>1017</t>
  </si>
  <si>
    <t>Robert  Juste</t>
  </si>
  <si>
    <t>Aachen</t>
  </si>
  <si>
    <t>1059</t>
  </si>
  <si>
    <t>Robert  Ritter</t>
  </si>
  <si>
    <t>Salzburg</t>
  </si>
  <si>
    <t>1053</t>
  </si>
  <si>
    <t>Ryan  McGuire</t>
  </si>
  <si>
    <t>1079</t>
  </si>
  <si>
    <t>Ryan  Skarbek</t>
  </si>
  <si>
    <t>Münster</t>
  </si>
  <si>
    <t>1007</t>
  </si>
  <si>
    <t>Scott  Fendlay</t>
  </si>
  <si>
    <t>Strasbourg</t>
  </si>
  <si>
    <t>1081</t>
  </si>
  <si>
    <t>Scott  Stearman</t>
  </si>
  <si>
    <t>1071</t>
  </si>
  <si>
    <t>Sean  Melcher</t>
  </si>
  <si>
    <t>ID</t>
  </si>
  <si>
    <t>Boise</t>
  </si>
  <si>
    <t>1022</t>
  </si>
  <si>
    <t>Steven  Morningstar</t>
  </si>
  <si>
    <t>1001</t>
  </si>
  <si>
    <t>Tatiana  Barr</t>
  </si>
  <si>
    <t>Berlin</t>
  </si>
  <si>
    <t>1039</t>
  </si>
  <si>
    <t>Teras  Eshete</t>
  </si>
  <si>
    <t>Brandenburg</t>
  </si>
  <si>
    <t>1055</t>
  </si>
  <si>
    <t>Thomas  McManus</t>
  </si>
  <si>
    <t>AK</t>
  </si>
  <si>
    <t>Anchorage</t>
  </si>
  <si>
    <t>1010</t>
  </si>
  <si>
    <t>Tyler  Gibbons</t>
  </si>
  <si>
    <t>Tsawassen</t>
  </si>
  <si>
    <t>1037</t>
  </si>
  <si>
    <t>Victor Alexander Del Rio</t>
  </si>
  <si>
    <t>Ireland</t>
  </si>
  <si>
    <t>Co. Cork</t>
  </si>
  <si>
    <t>Cork</t>
  </si>
  <si>
    <t>1008</t>
  </si>
  <si>
    <t>Vincent  Fischetti</t>
  </si>
  <si>
    <t>1011</t>
  </si>
  <si>
    <t>Vincent  Gilbert</t>
  </si>
  <si>
    <t>1057</t>
  </si>
  <si>
    <t>Vincent  Posey</t>
  </si>
  <si>
    <t>1049</t>
  </si>
  <si>
    <t>Zachary  King</t>
  </si>
  <si>
    <t>Bergamo</t>
  </si>
  <si>
    <t>1054</t>
  </si>
  <si>
    <t>Zachary  McLeer</t>
  </si>
  <si>
    <t>Row Labels</t>
  </si>
  <si>
    <t>Grand Total</t>
  </si>
  <si>
    <t>Sum of Revenue</t>
  </si>
  <si>
    <t>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</si>
</sst>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Bobo" refreshedDate="42318.482590509258" createdVersion="5" refreshedVersion="5" minRefreshableVersion="3" recordCount="2155">
  <cacheSource type="worksheet">
    <worksheetSource ref="A1:L2156" sheet="qrySales"/>
  </cacheSource>
  <cacheFields count="13">
    <cacheField name="CustomerID" numFmtId="0">
      <sharedItems/>
    </cacheField>
    <cacheField name="CustomerName" numFmtId="0">
      <sharedItems count="87">
        <s v="Aakash  Patel"/>
        <s v="Abigail  Sandoe"/>
        <s v="Alex  Travers"/>
        <s v="Alexander  Seymour"/>
        <s v="Allison  Mackown"/>
        <s v="Allison  Piatt"/>
        <s v="Arlene  Cline"/>
        <s v="Austin  Klingensmith"/>
        <s v="Austin  Robbins"/>
        <s v="Bijan  Hosseinzadeh"/>
        <s v="Billy  Caton"/>
        <s v="Bradley  Hunt"/>
        <s v="Bradley  Keith"/>
        <s v="Brigid  Nodonly"/>
        <s v="Brittany  Leaird"/>
        <s v="Charles  Worden"/>
        <s v="Chris  Huk"/>
        <s v="Christopher  Beach"/>
        <s v="Christopher  Griste"/>
        <s v="Colin  Carroll"/>
        <s v="Darcy  Burger"/>
        <s v="Darius  Hill"/>
        <s v="David  Lesser"/>
        <s v="Diya  D'Sa"/>
        <s v="Emily  Hite"/>
        <s v="Erik  Pereyramorales"/>
        <s v="George  Burns"/>
        <s v="Hayley  Greene"/>
        <s v="Hogeun  Park"/>
        <s v="Holly  Seymour"/>
        <s v="Ian  Scheidemann"/>
        <s v="Ivan  Chikhale"/>
        <s v="James  Humphreys"/>
        <s v="James  Williams"/>
        <s v="Jared  Schwarz"/>
        <s v="Jena  Wilson"/>
        <s v="John  Leavitt"/>
        <s v="John  Venincasa"/>
        <s v="Joseph  Mascolo"/>
        <s v="Joshua  Jones"/>
        <s v="Justin  Cassell"/>
        <s v="Justin  Manko"/>
        <s v="Kaitlyn  Sharrott"/>
        <s v="Katrina  Johnson"/>
        <s v="Kayla  Hinman"/>
        <s v="Kayla  Thompson"/>
        <s v="Kristen  Yingling"/>
        <s v="Kyla  Kellogg"/>
        <s v="Kyle  Hicks"/>
        <s v="Kyle  Markovic"/>
        <s v="Kyle  Offerman"/>
        <s v="Kyle  Robrecht"/>
        <s v="Luke  Quidley"/>
        <s v="Lyndsey  Gardner"/>
        <s v="Mackenzie  Bainbridge"/>
        <s v="Mahmoud  Yousif"/>
        <s v="Mark  Hilditch"/>
        <s v="McKenzie  Dillon"/>
        <s v="Megan  Spence"/>
        <s v="Meghan  Washington"/>
        <s v="Nicholas  Marshall"/>
        <s v="Nicholas  Potter"/>
        <s v="Nickolye  Douglas"/>
        <s v="Nicole  Mihalos"/>
        <s v="Osman Mohamed"/>
        <s v="Patrick  Rizzieri"/>
        <s v="Paul  Byerly"/>
        <s v="Peiyao  Lei"/>
        <s v="Richard  Newman"/>
        <s v="Robert  Juste"/>
        <s v="Robert  Ritter"/>
        <s v="Ryan  McGuire"/>
        <s v="Ryan  Skarbek"/>
        <s v="Scott  Fendlay"/>
        <s v="Scott  Stearman"/>
        <s v="Sean  Melcher"/>
        <s v="Steven  Morningstar"/>
        <s v="Tatiana  Barr"/>
        <s v="Teras  Eshete"/>
        <s v="Thomas  McManus"/>
        <s v="Tyler  Gibbons"/>
        <s v="Victor Alexander Del Rio"/>
        <s v="Vincent  Fischetti"/>
        <s v="Vincent  Gilbert"/>
        <s v="Vincent  Posey"/>
        <s v="Zachary  King"/>
        <s v="Zachary  McLeer"/>
      </sharedItems>
    </cacheField>
    <cacheField name="OrderDate" numFmtId="0">
      <sharedItems containsSemiMixedTypes="0" containsNonDate="0" containsDate="1" containsString="0" minDate="2008-01-01T00:00:00" maxDate="2009-11-01T00:00:00" count="387">
        <d v="2009-10-06T00:00:00"/>
        <d v="2009-03-10T00:00:00"/>
        <d v="2008-10-01T00:00:00"/>
        <d v="2009-04-10T00:00:00"/>
        <d v="2009-10-30T00:00:00"/>
        <d v="2008-01-30T00:00:00"/>
        <d v="2009-10-13T00:00:00"/>
        <d v="2009-03-24T00:00:00"/>
        <d v="2008-04-17T00:00:00"/>
        <d v="2008-05-01T00:00:00"/>
        <d v="2008-07-31T00:00:00"/>
        <d v="2009-10-08T00:00:00"/>
        <d v="2008-02-24T00:00:00"/>
        <d v="2009-07-10T00:00:00"/>
        <d v="2009-10-27T00:00:00"/>
        <d v="2008-09-17T00:00:00"/>
        <d v="2008-10-15T00:00:00"/>
        <d v="2008-01-08T00:00:00"/>
        <d v="2009-01-31T00:00:00"/>
        <d v="2008-09-02T00:00:00"/>
        <d v="2008-08-01T00:00:00"/>
        <d v="2008-10-08T00:00:00"/>
        <d v="2008-03-25T00:00:00"/>
        <d v="2009-03-31T00:00:00"/>
        <d v="2009-03-04T00:00:00"/>
        <d v="2008-10-14T00:00:00"/>
        <d v="2009-07-18T00:00:00"/>
        <d v="2008-10-09T00:00:00"/>
        <d v="2009-05-28T00:00:00"/>
        <d v="2009-09-10T00:00:00"/>
        <d v="2008-03-19T00:00:00"/>
        <d v="2008-10-23T00:00:00"/>
        <d v="2009-02-03T00:00:00"/>
        <d v="2009-03-17T00:00:00"/>
        <d v="2008-04-08T00:00:00"/>
        <d v="2008-09-27T00:00:00"/>
        <d v="2008-08-22T00:00:00"/>
        <d v="2008-01-05T00:00:00"/>
        <d v="2008-04-29T00:00:00"/>
        <d v="2008-09-06T00:00:00"/>
        <d v="2009-08-06T00:00:00"/>
        <d v="2009-08-28T00:00:00"/>
        <d v="2009-03-20T00:00:00"/>
        <d v="2008-01-26T00:00:00"/>
        <d v="2009-02-14T00:00:00"/>
        <d v="2009-06-10T00:00:00"/>
        <d v="2008-02-09T00:00:00"/>
        <d v="2008-09-09T00:00:00"/>
        <d v="2008-02-04T00:00:00"/>
        <d v="2009-03-09T00:00:00"/>
        <d v="2009-05-01T00:00:00"/>
        <d v="2008-10-21T00:00:00"/>
        <d v="2009-05-23T00:00:00"/>
        <d v="2008-09-19T00:00:00"/>
        <d v="2009-09-30T00:00:00"/>
        <d v="2009-09-26T00:00:00"/>
        <d v="2009-10-09T00:00:00"/>
        <d v="2009-10-10T00:00:00"/>
        <d v="2008-08-06T00:00:00"/>
        <d v="2008-07-04T00:00:00"/>
        <d v="2008-02-16T00:00:00"/>
        <d v="2008-05-06T00:00:00"/>
        <d v="2008-03-31T00:00:00"/>
        <d v="2008-04-06T00:00:00"/>
        <d v="2008-09-25T00:00:00"/>
        <d v="2008-07-22T00:00:00"/>
        <d v="2009-01-01T00:00:00"/>
        <d v="2009-07-14T00:00:00"/>
        <d v="2008-08-02T00:00:00"/>
        <d v="2009-06-16T00:00:00"/>
        <d v="2008-08-30T00:00:00"/>
        <d v="2009-03-19T00:00:00"/>
        <d v="2008-10-05T00:00:00"/>
        <d v="2008-01-07T00:00:00"/>
        <d v="2009-09-02T00:00:00"/>
        <d v="2008-03-20T00:00:00"/>
        <d v="2008-02-25T00:00:00"/>
        <d v="2008-04-22T00:00:00"/>
        <d v="2009-08-05T00:00:00"/>
        <d v="2009-04-03T00:00:00"/>
        <d v="2008-01-01T00:00:00"/>
        <d v="2009-10-16T00:00:00"/>
        <d v="2008-04-10T00:00:00"/>
        <d v="2009-10-14T00:00:00"/>
        <d v="2009-02-21T00:00:00"/>
        <d v="2009-06-04T00:00:00"/>
        <d v="2008-02-02T00:00:00"/>
        <d v="2009-10-17T00:00:00"/>
        <d v="2008-09-16T00:00:00"/>
        <d v="2008-03-16T00:00:00"/>
        <d v="2009-09-08T00:00:00"/>
        <d v="2009-09-24T00:00:00"/>
        <d v="2008-03-03T00:00:00"/>
        <d v="2008-01-23T00:00:00"/>
        <d v="2009-03-03T00:00:00"/>
        <d v="2009-02-04T00:00:00"/>
        <d v="2008-01-09T00:00:00"/>
        <d v="2008-10-19T00:00:00"/>
        <d v="2009-02-28T00:00:00"/>
        <d v="2008-02-20T00:00:00"/>
        <d v="2008-04-03T00:00:00"/>
        <d v="2008-05-05T00:00:00"/>
        <d v="2009-05-21T00:00:00"/>
        <d v="2009-04-08T00:00:00"/>
        <d v="2009-09-16T00:00:00"/>
        <d v="2008-09-03T00:00:00"/>
        <d v="2008-10-16T00:00:00"/>
        <d v="2008-08-16T00:00:00"/>
        <d v="2009-09-18T00:00:00"/>
        <d v="2008-02-26T00:00:00"/>
        <d v="2009-07-25T00:00:00"/>
        <d v="2009-09-23T00:00:00"/>
        <d v="2008-09-05T00:00:00"/>
        <d v="2008-04-23T00:00:00"/>
        <d v="2009-07-30T00:00:00"/>
        <d v="2008-02-10T00:00:00"/>
        <d v="2008-04-07T00:00:00"/>
        <d v="2009-10-07T00:00:00"/>
        <d v="2008-02-06T00:00:00"/>
        <d v="2008-01-02T00:00:00"/>
        <d v="2009-09-03T00:00:00"/>
        <d v="2009-06-09T00:00:00"/>
        <d v="2009-01-28T00:00:00"/>
        <d v="2009-10-03T00:00:00"/>
        <d v="2008-08-23T00:00:00"/>
        <d v="2008-04-30T00:00:00"/>
        <d v="2009-02-09T00:00:00"/>
        <d v="2009-07-02T00:00:00"/>
        <d v="2008-03-10T00:00:00"/>
        <d v="2008-04-09T00:00:00"/>
        <d v="2009-02-05T00:00:00"/>
        <d v="2009-05-30T00:00:00"/>
        <d v="2008-07-26T00:00:00"/>
        <d v="2009-06-30T00:00:00"/>
        <d v="2008-10-18T00:00:00"/>
        <d v="2009-01-16T00:00:00"/>
        <d v="2009-02-24T00:00:00"/>
        <d v="2008-10-03T00:00:00"/>
        <d v="2009-08-19T00:00:00"/>
        <d v="2008-04-15T00:00:00"/>
        <d v="2009-10-21T00:00:00"/>
        <d v="2009-01-13T00:00:00"/>
        <d v="2009-05-05T00:00:00"/>
        <d v="2009-09-17T00:00:00"/>
        <d v="2009-03-21T00:00:00"/>
        <d v="2009-05-22T00:00:00"/>
        <d v="2008-07-30T00:00:00"/>
        <d v="2008-03-24T00:00:00"/>
        <d v="2008-01-29T00:00:00"/>
        <d v="2008-03-05T00:00:00"/>
        <d v="2008-03-18T00:00:00"/>
        <d v="2009-04-07T00:00:00"/>
        <d v="2009-07-16T00:00:00"/>
        <d v="2008-09-26T00:00:00"/>
        <d v="2008-02-23T00:00:00"/>
        <d v="2009-09-25T00:00:00"/>
        <d v="2009-03-26T00:00:00"/>
        <d v="2009-07-29T00:00:00"/>
        <d v="2009-05-29T00:00:00"/>
        <d v="2009-08-22T00:00:00"/>
        <d v="2008-04-28T00:00:00"/>
        <d v="2008-07-16T00:00:00"/>
        <d v="2009-10-15T00:00:00"/>
        <d v="2009-05-19T00:00:00"/>
        <d v="2008-04-27T00:00:00"/>
        <d v="2008-07-08T00:00:00"/>
        <d v="2009-10-02T00:00:00"/>
        <d v="2008-02-13T00:00:00"/>
        <d v="2009-09-09T00:00:00"/>
        <d v="2009-08-26T00:00:00"/>
        <d v="2008-03-27T00:00:00"/>
        <d v="2008-07-10T00:00:00"/>
        <d v="2008-03-04T00:00:00"/>
        <d v="2008-04-14T00:00:00"/>
        <d v="2008-07-18T00:00:00"/>
        <d v="2009-05-07T00:00:00"/>
        <d v="2009-09-01T00:00:00"/>
        <d v="2008-03-26T00:00:00"/>
        <d v="2008-02-19T00:00:00"/>
        <d v="2008-02-17T00:00:00"/>
        <d v="2008-03-17T00:00:00"/>
        <d v="2008-01-27T00:00:00"/>
        <d v="2009-04-17T00:00:00"/>
        <d v="2009-06-27T00:00:00"/>
        <d v="2009-04-09T00:00:00"/>
        <d v="2008-08-27T00:00:00"/>
        <d v="2009-03-06T00:00:00"/>
        <d v="2009-04-02T00:00:00"/>
        <d v="2008-03-23T00:00:00"/>
        <d v="2009-02-10T00:00:00"/>
        <d v="2009-07-09T00:00:00"/>
        <d v="2008-04-20T00:00:00"/>
        <d v="2008-09-13T00:00:00"/>
        <d v="2008-10-25T00:00:00"/>
        <d v="2009-10-28T00:00:00"/>
        <d v="2008-09-18T00:00:00"/>
        <d v="2009-08-08T00:00:00"/>
        <d v="2009-04-15T00:00:00"/>
        <d v="2009-03-07T00:00:00"/>
        <d v="2008-02-18T00:00:00"/>
        <d v="2009-05-20T00:00:00"/>
        <d v="2008-01-06T00:00:00"/>
        <d v="2009-08-13T00:00:00"/>
        <d v="2008-10-07T00:00:00"/>
        <d v="2008-04-16T00:00:00"/>
        <d v="2009-02-25T00:00:00"/>
        <d v="2009-01-21T00:00:00"/>
        <d v="2009-08-25T00:00:00"/>
        <d v="2009-07-01T00:00:00"/>
        <d v="2008-07-15T00:00:00"/>
        <d v="2008-03-09T00:00:00"/>
        <d v="2008-07-19T00:00:00"/>
        <d v="2009-08-27T00:00:00"/>
        <d v="2008-09-10T00:00:00"/>
        <d v="2008-09-24T00:00:00"/>
        <d v="2009-10-19T00:00:00"/>
        <d v="2009-05-08T00:00:00"/>
        <d v="2009-01-27T00:00:00"/>
        <d v="2009-03-28T00:00:00"/>
        <d v="2008-01-21T00:00:00"/>
        <d v="2008-10-13T00:00:00"/>
        <d v="2008-08-14T00:00:00"/>
        <d v="2008-01-28T00:00:00"/>
        <d v="2008-01-16T00:00:00"/>
        <d v="2008-02-03T00:00:00"/>
        <d v="2008-08-09T00:00:00"/>
        <d v="2009-06-18T00:00:00"/>
        <d v="2009-02-13T00:00:00"/>
        <d v="2009-10-01T00:00:00"/>
        <d v="2009-08-10T00:00:00"/>
        <d v="2009-05-09T00:00:00"/>
        <d v="2008-08-19T00:00:00"/>
        <d v="2008-10-31T00:00:00"/>
        <d v="2009-04-30T00:00:00"/>
        <d v="2009-07-08T00:00:00"/>
        <d v="2009-05-14T00:00:00"/>
        <d v="2009-06-03T00:00:00"/>
        <d v="2008-08-13T00:00:00"/>
        <d v="2009-04-04T00:00:00"/>
        <d v="2008-03-13T00:00:00"/>
        <d v="2008-02-05T00:00:00"/>
        <d v="2009-08-09T00:00:00"/>
        <d v="2008-04-21T00:00:00"/>
        <d v="2008-03-06T00:00:00"/>
        <d v="2009-02-26T00:00:00"/>
        <d v="2008-01-22T00:00:00"/>
        <d v="2009-03-14T00:00:00"/>
        <d v="2009-09-05T00:00:00"/>
        <d v="2008-01-20T00:00:00"/>
        <d v="2008-07-09T00:00:00"/>
        <d v="2009-02-19T00:00:00"/>
        <d v="2009-04-23T00:00:00"/>
        <d v="2008-08-05T00:00:00"/>
        <d v="2008-10-22T00:00:00"/>
        <d v="2009-09-22T00:00:00"/>
        <d v="2009-10-29T00:00:00"/>
        <d v="2008-08-21T00:00:00"/>
        <d v="2008-08-20T00:00:00"/>
        <d v="2009-07-03T00:00:00"/>
        <d v="2008-04-02T00:00:00"/>
        <d v="2009-09-04T00:00:00"/>
        <d v="2009-10-18T00:00:00"/>
        <d v="2009-05-27T00:00:00"/>
        <d v="2008-04-01T00:00:00"/>
        <d v="2009-01-17T00:00:00"/>
        <d v="2008-10-04T00:00:00"/>
        <d v="2009-01-03T00:00:00"/>
        <d v="2009-10-25T00:00:00"/>
        <d v="2009-08-18T00:00:00"/>
        <d v="2008-08-07T00:00:00"/>
        <d v="2008-01-19T00:00:00"/>
        <d v="2008-01-15T00:00:00"/>
        <d v="2009-07-22T00:00:00"/>
        <d v="2008-08-28T00:00:00"/>
        <d v="2008-01-13T00:00:00"/>
        <d v="2008-03-02T00:00:00"/>
        <d v="2008-08-15T00:00:00"/>
        <d v="2009-06-25T00:00:00"/>
        <d v="2009-05-13T00:00:00"/>
        <d v="2008-10-27T00:00:00"/>
        <d v="2009-06-19T00:00:00"/>
        <d v="2009-07-07T00:00:00"/>
        <d v="2009-01-23T00:00:00"/>
        <d v="2009-07-21T00:00:00"/>
        <d v="2008-10-28T00:00:00"/>
        <d v="2009-02-07T00:00:00"/>
        <d v="2009-08-01T00:00:00"/>
        <d v="2009-04-14T00:00:00"/>
        <d v="2009-06-17T00:00:00"/>
        <d v="2009-08-04T00:00:00"/>
        <d v="2008-10-17T00:00:00"/>
        <d v="2008-09-20T00:00:00"/>
        <d v="2008-04-13T00:00:00"/>
        <d v="2008-02-27T00:00:00"/>
        <d v="2009-02-17T00:00:00"/>
        <d v="2009-10-24T00:00:00"/>
        <d v="2009-04-28T00:00:00"/>
        <d v="2008-09-04T00:00:00"/>
        <d v="2009-01-07T00:00:00"/>
        <d v="2008-05-04T00:00:00"/>
        <d v="2009-09-19T00:00:00"/>
        <d v="2009-10-04T00:00:00"/>
        <d v="2009-09-29T00:00:00"/>
        <d v="2009-09-15T00:00:00"/>
        <d v="2008-04-24T00:00:00"/>
        <d v="2009-08-20T00:00:00"/>
        <d v="2009-03-25T00:00:00"/>
        <d v="2009-01-06T00:00:00"/>
        <d v="2009-01-24T00:00:00"/>
        <d v="2008-01-14T00:00:00"/>
        <d v="2009-08-14T00:00:00"/>
        <d v="2008-10-10T00:00:00"/>
        <d v="2008-10-20T00:00:00"/>
        <d v="2009-01-14T00:00:00"/>
        <d v="2008-10-26T00:00:00"/>
        <d v="2009-08-15T00:00:00"/>
        <d v="2009-01-08T00:00:00"/>
        <d v="2009-10-20T00:00:00"/>
        <d v="2009-01-22T00:00:00"/>
        <d v="2008-10-24T00:00:00"/>
        <d v="2008-10-30T00:00:00"/>
        <d v="2009-06-06T00:00:00"/>
        <d v="2009-08-07T00:00:00"/>
        <d v="2009-03-27T00:00:00"/>
        <d v="2008-07-29T00:00:00"/>
        <d v="2009-05-02T00:00:00"/>
        <d v="2009-10-23T00:00:00"/>
        <d v="2009-10-26T00:00:00"/>
        <d v="2008-10-29T00:00:00"/>
        <d v="2009-04-18T00:00:00"/>
        <d v="2009-10-05T00:00:00"/>
        <d v="2009-07-31T00:00:00"/>
        <d v="2009-05-06T00:00:00"/>
        <d v="2009-07-04T00:00:00"/>
        <d v="2009-06-23T00:00:00"/>
        <d v="2009-04-29T00:00:00"/>
        <d v="2009-03-18T00:00:00"/>
        <d v="2009-02-27T00:00:00"/>
        <d v="2009-05-26T00:00:00"/>
        <d v="2009-02-06T00:00:00"/>
        <d v="2008-07-05T00:00:00"/>
        <d v="2009-07-23T00:00:00"/>
        <d v="2009-06-13T00:00:00"/>
        <d v="2009-01-20T00:00:00"/>
        <d v="2008-07-24T00:00:00"/>
        <d v="2009-01-29T00:00:00"/>
        <d v="2008-03-30T00:00:00"/>
        <d v="2009-04-24T00:00:00"/>
        <d v="2008-09-23T00:00:00"/>
        <d v="2008-07-23T00:00:00"/>
        <d v="2009-01-02T00:00:00"/>
        <d v="2009-01-30T00:00:00"/>
        <d v="2008-07-17T00:00:00"/>
        <d v="2009-04-22T00:00:00"/>
        <d v="2009-03-05T00:00:00"/>
        <d v="2009-07-17T00:00:00"/>
        <d v="2009-08-21T00:00:00"/>
        <d v="2009-07-24T00:00:00"/>
        <d v="2009-02-20T00:00:00"/>
        <d v="2009-07-28T00:00:00"/>
        <d v="2009-10-22T00:00:00"/>
        <d v="2009-06-02T00:00:00"/>
        <d v="2008-09-30T00:00:00"/>
        <d v="2009-03-13T00:00:00"/>
        <d v="2009-06-20T00:00:00"/>
        <d v="2008-07-25T00:00:00"/>
        <d v="2009-02-18T00:00:00"/>
        <d v="2009-06-05T00:00:00"/>
        <d v="2009-04-25T00:00:00"/>
        <d v="2008-08-08T00:00:00"/>
        <d v="2008-10-02T00:00:00"/>
        <d v="2008-08-29T00:00:00"/>
        <d v="2008-10-06T00:00:00"/>
        <d v="2009-04-21T00:00:00"/>
        <d v="2009-08-29T00:00:00"/>
        <d v="2009-06-26T00:00:00"/>
        <d v="2009-10-31T00:00:00"/>
        <d v="2009-01-09T00:00:00"/>
        <d v="2009-01-10T00:00:00"/>
        <d v="2009-04-01T00:00:00"/>
        <d v="2009-01-15T00:00:00"/>
        <d v="2009-06-24T00:00:00"/>
        <d v="2009-07-15T00:00:00"/>
        <d v="2009-05-16T00:00:00"/>
        <d v="2009-05-15T00:00:00"/>
        <d v="2008-08-26T00:00:00"/>
        <d v="2009-04-16T00:00:00"/>
      </sharedItems>
    </cacheField>
    <cacheField name="ProductName" numFmtId="0">
      <sharedItems count="77">
        <s v="Tourtière"/>
        <s v="Pavlova"/>
        <s v="Northwoods Cranberry Sauce"/>
        <s v="Chef Anton's Cajun Seasoning"/>
        <s v="Sirop d'érable"/>
        <s v="Gumbär Gummibärchen"/>
        <s v="Perth Pasties"/>
        <s v="Sir Rodney's Scones"/>
        <s v="Chang"/>
        <s v="Tarte au sucre"/>
        <s v="Geitost"/>
        <s v="Carnarvon Tigers"/>
        <s v="Gudbrandsdalsost"/>
        <s v="Steeleye Stout"/>
        <s v="Mishi Kobe Niku"/>
        <s v="Alice Mutton"/>
        <s v="Original Frankfurter grüne Soße"/>
        <s v="Raclette Courdavault"/>
        <s v="Côte de Blaye"/>
        <s v="Inlagd Sill"/>
        <s v="Sasquatch Ale"/>
        <s v="Røgede sild"/>
        <s v="Gnocchi di nonna Alice"/>
        <s v="Teatime Chocolate Biscuits"/>
        <s v="Röd Kaviar"/>
        <s v="Escargots de Bourgogne"/>
        <s v="Spegesild"/>
        <s v="Rhönbräu Klosterbier"/>
        <s v="Vegie-spread"/>
        <s v="Gula Malacca"/>
        <s v="Mozzarella di Giovanni"/>
        <s v="Rössle Sauerkraut"/>
        <s v="Scottish Longbreads"/>
        <s v="Nord-Ost Matjeshering"/>
        <s v="Manjimup Dried Apples"/>
        <s v="Camembert Pierrot"/>
        <s v="Uncle Bob's Organic Dried Pears"/>
        <s v="Thüringer Rostbratwurst"/>
        <s v="Ipoh Coffee"/>
        <s v="Louisiana Fiery Hot Pepper Sauce"/>
        <s v="Lakkalikööri"/>
        <s v="Guaraná Fantástica"/>
        <s v="Chocolade"/>
        <s v="Ikura"/>
        <s v="Chartreuse verte"/>
        <s v="Singaporean Hokkien Fried Mee"/>
        <s v="Chai"/>
        <s v="Outback Lager"/>
        <s v="Gustaf's Knäckebröd"/>
        <s v="Maxilaku"/>
        <s v="Filo Mix"/>
        <s v="Fløtemysost"/>
        <s v="NuNuCa Nuß-Nougat-Creme"/>
        <s v="Ravioli Angelo"/>
        <s v="Konbu"/>
        <s v="Tunnbröd"/>
        <s v="Queso Cabrales"/>
        <s v="Jack's New England Clam Chowder"/>
        <s v="Gravad lax"/>
        <s v="Sir Rodney's Marmalade"/>
        <s v="Gorgonzola Telino"/>
        <s v="Mascarpone Fabioli"/>
        <s v="Wimmers gute Semmelknödel"/>
        <s v="Pâté chinois"/>
        <s v="Chef Anton's Gumbo Mix"/>
        <s v="Schoggi Schokolade"/>
        <s v="Aniseed Syrup"/>
        <s v="Louisiana Hot Spiced Okra"/>
        <s v="Tofu"/>
        <s v="Queso Manchego La Pastora"/>
        <s v="Grandma's Boysenberry Spread"/>
        <s v="Valkoinen suklaa"/>
        <s v="Zaanse koeken"/>
        <s v="Laughing Lumberjack Lager"/>
        <s v="Longlife Tofu"/>
        <s v="Genen Shouyu"/>
        <s v="Boston Crab Meat"/>
      </sharedItems>
    </cacheField>
    <cacheField name="EmployeeName" numFmtId="0">
      <sharedItems/>
    </cacheField>
    <cacheField name="SupplierName" numFmtId="0">
      <sharedItems/>
    </cacheField>
    <cacheField name="Paid?" numFmtId="0">
      <sharedItems count="2">
        <s v="Yes"/>
        <s v="No"/>
      </sharedItems>
    </cacheField>
    <cacheField name="CustomerCountry" numFmtId="0">
      <sharedItems/>
    </cacheField>
    <cacheField name="CustomerState/Region" numFmtId="0">
      <sharedItems containsBlank="1"/>
    </cacheField>
    <cacheField name="CustomerCity" numFmtId="0">
      <sharedItems/>
    </cacheField>
    <cacheField name="UnitPrice" numFmtId="0">
      <sharedItems containsSemiMixedTypes="0" containsString="0" containsNumber="1" minValue="2" maxValue="263.5"/>
    </cacheField>
    <cacheField name="Quantity" numFmtId="0">
      <sharedItems containsSemiMixedTypes="0" containsString="0" containsNumber="1" containsInteger="1" minValue="1" maxValue="130"/>
    </cacheField>
    <cacheField name="Revenue" numFmtId="0" formula="UnitPrice*Quanti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5">
  <r>
    <s v="1090"/>
    <x v="0"/>
    <x v="0"/>
    <x v="0"/>
    <s v="Janet Leverling"/>
    <s v="Ma Maison"/>
    <x v="0"/>
    <s v="Finland"/>
    <m/>
    <s v="Helsinki"/>
    <n v="7.45"/>
    <n v="60"/>
  </r>
  <r>
    <s v="1090"/>
    <x v="0"/>
    <x v="1"/>
    <x v="1"/>
    <s v="Nancy Davolio"/>
    <s v="Pavlova, Ltd."/>
    <x v="0"/>
    <s v="Finland"/>
    <m/>
    <s v="Helsinki"/>
    <n v="13.9"/>
    <n v="35"/>
  </r>
  <r>
    <s v="1090"/>
    <x v="0"/>
    <x v="2"/>
    <x v="2"/>
    <s v="Margaret Peacock"/>
    <s v="Grandma Kelly's Homestead"/>
    <x v="0"/>
    <s v="Finland"/>
    <m/>
    <s v="Helsinki"/>
    <n v="32"/>
    <n v="70"/>
  </r>
  <r>
    <s v="1090"/>
    <x v="0"/>
    <x v="2"/>
    <x v="3"/>
    <s v="Margaret Peacock"/>
    <s v="New Orleans Cajun Delights"/>
    <x v="0"/>
    <s v="Finland"/>
    <m/>
    <s v="Helsinki"/>
    <n v="17.600000000000001"/>
    <n v="35"/>
  </r>
  <r>
    <s v="1090"/>
    <x v="0"/>
    <x v="3"/>
    <x v="4"/>
    <s v="Margaret Peacock"/>
    <s v="Forêts d'érables"/>
    <x v="0"/>
    <s v="Finland"/>
    <m/>
    <s v="Helsinki"/>
    <n v="28.5"/>
    <n v="25"/>
  </r>
  <r>
    <s v="1090"/>
    <x v="0"/>
    <x v="4"/>
    <x v="5"/>
    <s v="Janet Leverling"/>
    <s v="Heli Süßwaren GmbH &amp; Co. KG"/>
    <x v="0"/>
    <s v="Finland"/>
    <m/>
    <s v="Helsinki"/>
    <n v="31.23"/>
    <n v="15"/>
  </r>
  <r>
    <s v="1090"/>
    <x v="0"/>
    <x v="3"/>
    <x v="6"/>
    <s v="Margaret Peacock"/>
    <s v="G'day, Mate"/>
    <x v="0"/>
    <s v="Finland"/>
    <m/>
    <s v="Helsinki"/>
    <n v="32.799999999999997"/>
    <n v="10"/>
  </r>
  <r>
    <s v="1090"/>
    <x v="0"/>
    <x v="3"/>
    <x v="7"/>
    <s v="Margaret Peacock"/>
    <s v="Specialty Biscuits, Ltd."/>
    <x v="0"/>
    <s v="Finland"/>
    <m/>
    <s v="Helsinki"/>
    <n v="10"/>
    <n v="12"/>
  </r>
  <r>
    <s v="1090"/>
    <x v="0"/>
    <x v="3"/>
    <x v="8"/>
    <s v="Margaret Peacock"/>
    <s v="Exotic Liquids"/>
    <x v="0"/>
    <s v="Finland"/>
    <m/>
    <s v="Helsinki"/>
    <n v="19"/>
    <n v="12"/>
  </r>
  <r>
    <s v="1090"/>
    <x v="0"/>
    <x v="5"/>
    <x v="9"/>
    <s v="Margaret Peacock"/>
    <s v="Forêts d'érables"/>
    <x v="1"/>
    <s v="Finland"/>
    <m/>
    <s v="Helsinki"/>
    <n v="49.3"/>
    <n v="3"/>
  </r>
  <r>
    <s v="1090"/>
    <x v="0"/>
    <x v="5"/>
    <x v="10"/>
    <s v="Margaret Peacock"/>
    <s v="Norske Meierier"/>
    <x v="1"/>
    <s v="Finland"/>
    <m/>
    <s v="Helsinki"/>
    <n v="2.5"/>
    <n v="35"/>
  </r>
  <r>
    <s v="1090"/>
    <x v="0"/>
    <x v="5"/>
    <x v="7"/>
    <s v="Margaret Peacock"/>
    <s v="Specialty Biscuits, Ltd."/>
    <x v="1"/>
    <s v="Finland"/>
    <m/>
    <s v="Helsinki"/>
    <n v="10"/>
    <n v="40"/>
  </r>
  <r>
    <s v="1090"/>
    <x v="0"/>
    <x v="5"/>
    <x v="11"/>
    <s v="Margaret Peacock"/>
    <s v="Pavlova, Ltd."/>
    <x v="1"/>
    <s v="Finland"/>
    <m/>
    <s v="Helsinki"/>
    <n v="62.5"/>
    <n v="20"/>
  </r>
  <r>
    <s v="1090"/>
    <x v="0"/>
    <x v="1"/>
    <x v="8"/>
    <s v="Nancy Davolio"/>
    <s v="Exotic Liquids"/>
    <x v="0"/>
    <s v="Finland"/>
    <m/>
    <s v="Helsinki"/>
    <n v="15.2"/>
    <n v="40"/>
  </r>
  <r>
    <s v="1090"/>
    <x v="0"/>
    <x v="0"/>
    <x v="12"/>
    <s v="Janet Leverling"/>
    <s v="Norske Meierier"/>
    <x v="0"/>
    <s v="Finland"/>
    <m/>
    <s v="Helsinki"/>
    <n v="36"/>
    <n v="30"/>
  </r>
  <r>
    <s v="1090"/>
    <x v="0"/>
    <x v="6"/>
    <x v="13"/>
    <s v="Margaret Peacock"/>
    <s v="Bigfoot Breweries"/>
    <x v="0"/>
    <s v="Finland"/>
    <m/>
    <s v="Helsinki"/>
    <n v="18"/>
    <n v="35"/>
  </r>
  <r>
    <s v="1090"/>
    <x v="0"/>
    <x v="0"/>
    <x v="14"/>
    <s v="Janet Leverling"/>
    <s v="Tokyo Traders"/>
    <x v="0"/>
    <s v="Finland"/>
    <m/>
    <s v="Helsinki"/>
    <n v="97"/>
    <n v="6"/>
  </r>
  <r>
    <s v="1090"/>
    <x v="0"/>
    <x v="5"/>
    <x v="15"/>
    <s v="Margaret Peacock"/>
    <s v="Pavlova, Ltd."/>
    <x v="1"/>
    <s v="Finland"/>
    <m/>
    <s v="Helsinki"/>
    <n v="39"/>
    <n v="42"/>
  </r>
  <r>
    <s v="1090"/>
    <x v="0"/>
    <x v="7"/>
    <x v="16"/>
    <s v="Robert King"/>
    <s v="Plutzer Lebensmittelgroßmärkte AG"/>
    <x v="0"/>
    <s v="Finland"/>
    <m/>
    <s v="Helsinki"/>
    <n v="10.4"/>
    <n v="30"/>
  </r>
  <r>
    <s v="1090"/>
    <x v="0"/>
    <x v="8"/>
    <x v="17"/>
    <s v="Andrew Fuller"/>
    <s v="Gai pâturage"/>
    <x v="1"/>
    <s v="Finland"/>
    <m/>
    <s v="Helsinki"/>
    <n v="55"/>
    <n v="30"/>
  </r>
  <r>
    <s v="1090"/>
    <x v="0"/>
    <x v="8"/>
    <x v="18"/>
    <s v="Andrew Fuller"/>
    <s v="Aux joyeux ecclésiastiques"/>
    <x v="1"/>
    <s v="Finland"/>
    <m/>
    <s v="Helsinki"/>
    <n v="263.5"/>
    <n v="25"/>
  </r>
  <r>
    <s v="1090"/>
    <x v="0"/>
    <x v="8"/>
    <x v="19"/>
    <s v="Andrew Fuller"/>
    <s v="Svensk Sjöföda AB"/>
    <x v="1"/>
    <s v="Finland"/>
    <m/>
    <s v="Helsinki"/>
    <n v="19"/>
    <n v="35"/>
  </r>
  <r>
    <s v="1090"/>
    <x v="0"/>
    <x v="7"/>
    <x v="20"/>
    <s v="Robert King"/>
    <s v="Bigfoot Breweries"/>
    <x v="0"/>
    <s v="Finland"/>
    <m/>
    <s v="Helsinki"/>
    <n v="11.2"/>
    <n v="35"/>
  </r>
  <r>
    <s v="1090"/>
    <x v="0"/>
    <x v="6"/>
    <x v="21"/>
    <s v="Margaret Peacock"/>
    <s v="Lyngbysild"/>
    <x v="0"/>
    <s v="Finland"/>
    <m/>
    <s v="Helsinki"/>
    <n v="9.5"/>
    <n v="40"/>
  </r>
  <r>
    <s v="1090"/>
    <x v="0"/>
    <x v="6"/>
    <x v="22"/>
    <s v="Margaret Peacock"/>
    <s v="Pasta Buttini s.r.l."/>
    <x v="0"/>
    <s v="Finland"/>
    <m/>
    <s v="Helsinki"/>
    <n v="38"/>
    <n v="14"/>
  </r>
  <r>
    <s v="1090"/>
    <x v="0"/>
    <x v="9"/>
    <x v="1"/>
    <s v="Robert King"/>
    <s v="Pavlova, Ltd."/>
    <x v="1"/>
    <s v="Finland"/>
    <m/>
    <s v="Helsinki"/>
    <n v="17.45"/>
    <n v="3"/>
  </r>
  <r>
    <s v="1090"/>
    <x v="0"/>
    <x v="9"/>
    <x v="23"/>
    <s v="Robert King"/>
    <s v="Specialty Biscuits, Ltd."/>
    <x v="1"/>
    <s v="Finland"/>
    <m/>
    <s v="Helsinki"/>
    <n v="9.1999999999999993"/>
    <n v="42"/>
  </r>
  <r>
    <s v="1090"/>
    <x v="0"/>
    <x v="9"/>
    <x v="20"/>
    <s v="Robert King"/>
    <s v="Bigfoot Breweries"/>
    <x v="1"/>
    <s v="Finland"/>
    <m/>
    <s v="Helsinki"/>
    <n v="14"/>
    <n v="35"/>
  </r>
  <r>
    <s v="1090"/>
    <x v="0"/>
    <x v="0"/>
    <x v="24"/>
    <s v="Janet Leverling"/>
    <s v="Svensk Sjöföda AB"/>
    <x v="0"/>
    <s v="Finland"/>
    <m/>
    <s v="Helsinki"/>
    <n v="15"/>
    <n v="15"/>
  </r>
  <r>
    <s v="1090"/>
    <x v="0"/>
    <x v="10"/>
    <x v="10"/>
    <s v="Steven Buchanan"/>
    <s v="Norske Meierier"/>
    <x v="0"/>
    <s v="Finland"/>
    <m/>
    <s v="Helsinki"/>
    <n v="2"/>
    <n v="60"/>
  </r>
  <r>
    <s v="1090"/>
    <x v="0"/>
    <x v="11"/>
    <x v="15"/>
    <s v="Laura Callahan"/>
    <s v="Pavlova, Ltd."/>
    <x v="0"/>
    <s v="Finland"/>
    <m/>
    <s v="Helsinki"/>
    <n v="39"/>
    <n v="20"/>
  </r>
  <r>
    <s v="1090"/>
    <x v="0"/>
    <x v="12"/>
    <x v="9"/>
    <s v="Janet Leverling"/>
    <s v="Forêts d'érables"/>
    <x v="1"/>
    <s v="Finland"/>
    <m/>
    <s v="Helsinki"/>
    <n v="49.3"/>
    <n v="35"/>
  </r>
  <r>
    <s v="1090"/>
    <x v="0"/>
    <x v="12"/>
    <x v="25"/>
    <s v="Janet Leverling"/>
    <s v="Escargots Nouveaux"/>
    <x v="1"/>
    <s v="Finland"/>
    <m/>
    <s v="Helsinki"/>
    <n v="13.25"/>
    <n v="15"/>
  </r>
  <r>
    <s v="1090"/>
    <x v="0"/>
    <x v="11"/>
    <x v="26"/>
    <s v="Laura Callahan"/>
    <s v="Lyngbysild"/>
    <x v="0"/>
    <s v="Finland"/>
    <m/>
    <s v="Helsinki"/>
    <n v="12"/>
    <n v="18"/>
  </r>
  <r>
    <s v="1090"/>
    <x v="0"/>
    <x v="13"/>
    <x v="27"/>
    <s v="Laura Callahan"/>
    <s v="Plutzer Lebensmittelgroßmärkte AG"/>
    <x v="0"/>
    <s v="Finland"/>
    <m/>
    <s v="Helsinki"/>
    <n v="7.75"/>
    <n v="30"/>
  </r>
  <r>
    <s v="1090"/>
    <x v="0"/>
    <x v="13"/>
    <x v="28"/>
    <s v="Laura Callahan"/>
    <s v="Pavlova, Ltd."/>
    <x v="0"/>
    <s v="Finland"/>
    <m/>
    <s v="Helsinki"/>
    <n v="43.9"/>
    <n v="24"/>
  </r>
  <r>
    <s v="1090"/>
    <x v="0"/>
    <x v="1"/>
    <x v="29"/>
    <s v="Nancy Davolio"/>
    <s v="Leka Trading"/>
    <x v="0"/>
    <s v="Finland"/>
    <m/>
    <s v="Helsinki"/>
    <n v="15.5"/>
    <n v="2"/>
  </r>
  <r>
    <s v="1090"/>
    <x v="0"/>
    <x v="10"/>
    <x v="30"/>
    <s v="Steven Buchanan"/>
    <s v="Formaggi Fortini s.r.l."/>
    <x v="0"/>
    <s v="Finland"/>
    <m/>
    <s v="Helsinki"/>
    <n v="27.8"/>
    <n v="20"/>
  </r>
  <r>
    <s v="1090"/>
    <x v="0"/>
    <x v="6"/>
    <x v="31"/>
    <s v="Margaret Peacock"/>
    <s v="Plutzer Lebensmittelgroßmärkte AG"/>
    <x v="0"/>
    <s v="Finland"/>
    <m/>
    <s v="Helsinki"/>
    <n v="45.6"/>
    <n v="5"/>
  </r>
  <r>
    <s v="1090"/>
    <x v="0"/>
    <x v="13"/>
    <x v="22"/>
    <s v="Laura Callahan"/>
    <s v="Pasta Buttini s.r.l."/>
    <x v="0"/>
    <s v="Finland"/>
    <m/>
    <s v="Helsinki"/>
    <n v="38"/>
    <n v="5"/>
  </r>
  <r>
    <s v="1076"/>
    <x v="1"/>
    <x v="14"/>
    <x v="11"/>
    <s v="Laura Callahan"/>
    <s v="Pavlova, Ltd."/>
    <x v="1"/>
    <s v="Belgium"/>
    <m/>
    <s v="Charleroi"/>
    <n v="62.5"/>
    <n v="21"/>
  </r>
  <r>
    <s v="1076"/>
    <x v="1"/>
    <x v="15"/>
    <x v="32"/>
    <s v="Nancy Davolio"/>
    <s v="Specialty Biscuits, Ltd."/>
    <x v="0"/>
    <s v="Belgium"/>
    <m/>
    <s v="Charleroi"/>
    <n v="10"/>
    <n v="8"/>
  </r>
  <r>
    <s v="1076"/>
    <x v="1"/>
    <x v="16"/>
    <x v="33"/>
    <s v="Margaret Peacock"/>
    <s v="Nord-Ost-Fisch Handelsgesellschaft mbH"/>
    <x v="0"/>
    <s v="Belgium"/>
    <m/>
    <s v="Charleroi"/>
    <n v="20.7"/>
    <n v="8"/>
  </r>
  <r>
    <s v="1076"/>
    <x v="1"/>
    <x v="17"/>
    <x v="34"/>
    <s v="Nancy Davolio"/>
    <s v="G'day, Mate"/>
    <x v="1"/>
    <s v="Belgium"/>
    <m/>
    <s v="Charleroi"/>
    <n v="53"/>
    <n v="6"/>
  </r>
  <r>
    <s v="1076"/>
    <x v="1"/>
    <x v="17"/>
    <x v="13"/>
    <s v="Nancy Davolio"/>
    <s v="Bigfoot Breweries"/>
    <x v="1"/>
    <s v="Belgium"/>
    <m/>
    <s v="Charleroi"/>
    <n v="18"/>
    <n v="20"/>
  </r>
  <r>
    <s v="1076"/>
    <x v="1"/>
    <x v="16"/>
    <x v="18"/>
    <s v="Margaret Peacock"/>
    <s v="Aux joyeux ecclésiastiques"/>
    <x v="0"/>
    <s v="Belgium"/>
    <m/>
    <s v="Charleroi"/>
    <n v="210.8"/>
    <n v="20"/>
  </r>
  <r>
    <s v="1076"/>
    <x v="1"/>
    <x v="15"/>
    <x v="35"/>
    <s v="Nancy Davolio"/>
    <s v="Gai pâturage"/>
    <x v="0"/>
    <s v="Belgium"/>
    <m/>
    <s v="Charleroi"/>
    <n v="27.2"/>
    <n v="20"/>
  </r>
  <r>
    <s v="1076"/>
    <x v="1"/>
    <x v="15"/>
    <x v="36"/>
    <s v="Nancy Davolio"/>
    <s v="Grandma Kelly's Homestead"/>
    <x v="0"/>
    <s v="Belgium"/>
    <m/>
    <s v="Charleroi"/>
    <n v="24"/>
    <n v="10"/>
  </r>
  <r>
    <s v="1076"/>
    <x v="1"/>
    <x v="16"/>
    <x v="22"/>
    <s v="Margaret Peacock"/>
    <s v="Pasta Buttini s.r.l."/>
    <x v="0"/>
    <s v="Belgium"/>
    <m/>
    <s v="Charleroi"/>
    <n v="30.4"/>
    <n v="12"/>
  </r>
  <r>
    <s v="1076"/>
    <x v="1"/>
    <x v="14"/>
    <x v="12"/>
    <s v="Laura Callahan"/>
    <s v="Norske Meierier"/>
    <x v="1"/>
    <s v="Belgium"/>
    <m/>
    <s v="Charleroi"/>
    <n v="36"/>
    <n v="20"/>
  </r>
  <r>
    <s v="1076"/>
    <x v="1"/>
    <x v="18"/>
    <x v="0"/>
    <s v="Janet Leverling"/>
    <s v="Ma Maison"/>
    <x v="0"/>
    <s v="Belgium"/>
    <m/>
    <s v="Charleroi"/>
    <n v="5.9"/>
    <n v="40"/>
  </r>
  <r>
    <s v="1076"/>
    <x v="1"/>
    <x v="16"/>
    <x v="23"/>
    <s v="Margaret Peacock"/>
    <s v="Specialty Biscuits, Ltd."/>
    <x v="0"/>
    <s v="Belgium"/>
    <m/>
    <s v="Charleroi"/>
    <n v="7.3"/>
    <n v="10"/>
  </r>
  <r>
    <s v="1076"/>
    <x v="1"/>
    <x v="19"/>
    <x v="22"/>
    <s v="Laura Callahan"/>
    <s v="Pasta Buttini s.r.l."/>
    <x v="0"/>
    <s v="Belgium"/>
    <m/>
    <s v="Charleroi"/>
    <n v="30.4"/>
    <n v="18"/>
  </r>
  <r>
    <s v="1076"/>
    <x v="1"/>
    <x v="19"/>
    <x v="37"/>
    <s v="Laura Callahan"/>
    <s v="Plutzer Lebensmittelgroßmärkte AG"/>
    <x v="0"/>
    <s v="Belgium"/>
    <m/>
    <s v="Charleroi"/>
    <n v="99"/>
    <n v="20"/>
  </r>
  <r>
    <s v="1076"/>
    <x v="1"/>
    <x v="20"/>
    <x v="10"/>
    <s v="Michael Suyama"/>
    <s v="Norske Meierier"/>
    <x v="0"/>
    <s v="Belgium"/>
    <m/>
    <s v="Charleroi"/>
    <n v="2"/>
    <n v="24"/>
  </r>
  <r>
    <s v="1076"/>
    <x v="1"/>
    <x v="21"/>
    <x v="0"/>
    <s v="Robert King"/>
    <s v="Ma Maison"/>
    <x v="0"/>
    <s v="Belgium"/>
    <m/>
    <s v="Charleroi"/>
    <n v="5.9"/>
    <n v="24"/>
  </r>
  <r>
    <s v="1076"/>
    <x v="1"/>
    <x v="22"/>
    <x v="28"/>
    <s v="Janet Leverling"/>
    <s v="Pavlova, Ltd."/>
    <x v="1"/>
    <s v="Belgium"/>
    <m/>
    <s v="Charleroi"/>
    <n v="43.9"/>
    <n v="10"/>
  </r>
  <r>
    <s v="1076"/>
    <x v="1"/>
    <x v="14"/>
    <x v="19"/>
    <s v="Laura Callahan"/>
    <s v="Svensk Sjöföda AB"/>
    <x v="1"/>
    <s v="Belgium"/>
    <m/>
    <s v="Charleroi"/>
    <n v="19"/>
    <n v="20"/>
  </r>
  <r>
    <s v="1076"/>
    <x v="1"/>
    <x v="14"/>
    <x v="32"/>
    <s v="Laura Callahan"/>
    <s v="Specialty Biscuits, Ltd."/>
    <x v="1"/>
    <s v="Belgium"/>
    <m/>
    <s v="Charleroi"/>
    <n v="12.5"/>
    <n v="6"/>
  </r>
  <r>
    <s v="1076"/>
    <x v="1"/>
    <x v="18"/>
    <x v="5"/>
    <s v="Janet Leverling"/>
    <s v="Heli Süßwaren GmbH &amp; Co. KG"/>
    <x v="0"/>
    <s v="Belgium"/>
    <m/>
    <s v="Charleroi"/>
    <n v="24.9"/>
    <n v="10"/>
  </r>
  <r>
    <s v="1029"/>
    <x v="2"/>
    <x v="23"/>
    <x v="16"/>
    <s v="Laura Callahan"/>
    <s v="Plutzer Lebensmittelgroßmärkte AG"/>
    <x v="0"/>
    <s v="Spain"/>
    <m/>
    <s v="Barcelona"/>
    <n v="10.4"/>
    <n v="7"/>
  </r>
  <r>
    <s v="1029"/>
    <x v="2"/>
    <x v="23"/>
    <x v="29"/>
    <s v="Laura Callahan"/>
    <s v="Leka Trading"/>
    <x v="0"/>
    <s v="Spain"/>
    <m/>
    <s v="Barcelona"/>
    <n v="15.5"/>
    <n v="15"/>
  </r>
  <r>
    <s v="1029"/>
    <x v="2"/>
    <x v="24"/>
    <x v="38"/>
    <s v="Margaret Peacock"/>
    <s v="Leka Trading"/>
    <x v="0"/>
    <s v="Spain"/>
    <m/>
    <s v="Barcelona"/>
    <n v="36.799999999999997"/>
    <n v="3"/>
  </r>
  <r>
    <s v="1029"/>
    <x v="2"/>
    <x v="24"/>
    <x v="3"/>
    <s v="Margaret Peacock"/>
    <s v="New Orleans Cajun Delights"/>
    <x v="0"/>
    <s v="Spain"/>
    <m/>
    <s v="Barcelona"/>
    <n v="17.600000000000001"/>
    <n v="16"/>
  </r>
  <r>
    <s v="1029"/>
    <x v="2"/>
    <x v="25"/>
    <x v="32"/>
    <s v="Margaret Peacock"/>
    <s v="Specialty Biscuits, Ltd."/>
    <x v="0"/>
    <s v="Spain"/>
    <m/>
    <s v="Barcelona"/>
    <n v="10"/>
    <n v="10"/>
  </r>
  <r>
    <s v="1029"/>
    <x v="2"/>
    <x v="24"/>
    <x v="22"/>
    <s v="Margaret Peacock"/>
    <s v="Pasta Buttini s.r.l."/>
    <x v="0"/>
    <s v="Spain"/>
    <m/>
    <s v="Barcelona"/>
    <n v="30.4"/>
    <n v="30"/>
  </r>
  <r>
    <s v="1029"/>
    <x v="2"/>
    <x v="24"/>
    <x v="35"/>
    <s v="Margaret Peacock"/>
    <s v="Gai pâturage"/>
    <x v="0"/>
    <s v="Spain"/>
    <m/>
    <s v="Barcelona"/>
    <n v="27.2"/>
    <n v="20"/>
  </r>
  <r>
    <s v="1029"/>
    <x v="2"/>
    <x v="25"/>
    <x v="39"/>
    <s v="Margaret Peacock"/>
    <s v="New Orleans Cajun Delights"/>
    <x v="0"/>
    <s v="Spain"/>
    <m/>
    <s v="Barcelona"/>
    <n v="16.8"/>
    <n v="40"/>
  </r>
  <r>
    <s v="1029"/>
    <x v="2"/>
    <x v="26"/>
    <x v="40"/>
    <s v="Nancy Davolio"/>
    <s v="Karkki Oy"/>
    <x v="0"/>
    <s v="Spain"/>
    <m/>
    <s v="Barcelona"/>
    <n v="18"/>
    <n v="10"/>
  </r>
  <r>
    <s v="1029"/>
    <x v="2"/>
    <x v="27"/>
    <x v="0"/>
    <s v="Janet Leverling"/>
    <s v="Ma Maison"/>
    <x v="0"/>
    <s v="Spain"/>
    <m/>
    <s v="Barcelona"/>
    <n v="5.9"/>
    <n v="20"/>
  </r>
  <r>
    <s v="1029"/>
    <x v="2"/>
    <x v="27"/>
    <x v="41"/>
    <s v="Janet Leverling"/>
    <s v="Refrescos Americanas LTDA"/>
    <x v="0"/>
    <s v="Spain"/>
    <m/>
    <s v="Barcelona"/>
    <n v="3.6"/>
    <n v="10"/>
  </r>
  <r>
    <s v="1029"/>
    <x v="2"/>
    <x v="28"/>
    <x v="1"/>
    <s v="Margaret Peacock"/>
    <s v="Pavlova, Ltd."/>
    <x v="0"/>
    <s v="Spain"/>
    <m/>
    <s v="Barcelona"/>
    <n v="17.45"/>
    <n v="40"/>
  </r>
  <r>
    <s v="1029"/>
    <x v="2"/>
    <x v="28"/>
    <x v="13"/>
    <s v="Margaret Peacock"/>
    <s v="Bigfoot Breweries"/>
    <x v="0"/>
    <s v="Spain"/>
    <m/>
    <s v="Barcelona"/>
    <n v="18"/>
    <n v="20"/>
  </r>
  <r>
    <s v="1029"/>
    <x v="2"/>
    <x v="28"/>
    <x v="29"/>
    <s v="Margaret Peacock"/>
    <s v="Leka Trading"/>
    <x v="0"/>
    <s v="Spain"/>
    <m/>
    <s v="Barcelona"/>
    <n v="19.45"/>
    <n v="40"/>
  </r>
  <r>
    <s v="1029"/>
    <x v="2"/>
    <x v="25"/>
    <x v="17"/>
    <s v="Margaret Peacock"/>
    <s v="Gai pâturage"/>
    <x v="0"/>
    <s v="Spain"/>
    <m/>
    <s v="Barcelona"/>
    <n v="44"/>
    <n v="9"/>
  </r>
  <r>
    <s v="1029"/>
    <x v="2"/>
    <x v="26"/>
    <x v="42"/>
    <s v="Nancy Davolio"/>
    <s v="Zaanse Snoepfabriek"/>
    <x v="0"/>
    <s v="Spain"/>
    <m/>
    <s v="Barcelona"/>
    <n v="12.75"/>
    <n v="6"/>
  </r>
  <r>
    <s v="1029"/>
    <x v="2"/>
    <x v="29"/>
    <x v="43"/>
    <s v="Nancy Davolio"/>
    <s v="Tokyo Traders"/>
    <x v="0"/>
    <s v="Spain"/>
    <m/>
    <s v="Barcelona"/>
    <n v="31"/>
    <n v="24"/>
  </r>
  <r>
    <s v="1029"/>
    <x v="2"/>
    <x v="29"/>
    <x v="22"/>
    <s v="Nancy Davolio"/>
    <s v="Pasta Buttini s.r.l."/>
    <x v="0"/>
    <s v="Spain"/>
    <m/>
    <s v="Barcelona"/>
    <n v="38"/>
    <n v="12"/>
  </r>
  <r>
    <s v="1029"/>
    <x v="2"/>
    <x v="29"/>
    <x v="39"/>
    <s v="Nancy Davolio"/>
    <s v="New Orleans Cajun Delights"/>
    <x v="0"/>
    <s v="Spain"/>
    <m/>
    <s v="Barcelona"/>
    <n v="21.05"/>
    <n v="15"/>
  </r>
  <r>
    <s v="1029"/>
    <x v="2"/>
    <x v="30"/>
    <x v="35"/>
    <s v="Anne Dodsworth"/>
    <s v="Gai pâturage"/>
    <x v="1"/>
    <s v="Spain"/>
    <m/>
    <s v="Barcelona"/>
    <n v="34"/>
    <n v="2"/>
  </r>
  <r>
    <s v="1061"/>
    <x v="3"/>
    <x v="31"/>
    <x v="3"/>
    <s v="Robert King"/>
    <s v="New Orleans Cajun Delights"/>
    <x v="0"/>
    <s v="Brazil"/>
    <s v="RJ"/>
    <s v="Rio de Janeiro"/>
    <n v="17.600000000000001"/>
    <n v="18"/>
  </r>
  <r>
    <s v="1061"/>
    <x v="3"/>
    <x v="32"/>
    <x v="22"/>
    <s v="Janet Leverling"/>
    <s v="Pasta Buttini s.r.l."/>
    <x v="0"/>
    <s v="Brazil"/>
    <s v="RJ"/>
    <s v="Rio de Janeiro"/>
    <n v="30.4"/>
    <n v="28"/>
  </r>
  <r>
    <s v="1061"/>
    <x v="3"/>
    <x v="33"/>
    <x v="44"/>
    <s v="Steven Buchanan"/>
    <s v="Aux joyeux ecclésiastiques"/>
    <x v="0"/>
    <s v="Brazil"/>
    <s v="RJ"/>
    <s v="Rio de Janeiro"/>
    <n v="14.4"/>
    <n v="20"/>
  </r>
  <r>
    <s v="1061"/>
    <x v="3"/>
    <x v="34"/>
    <x v="2"/>
    <s v="Laura Callahan"/>
    <s v="Grandma Kelly's Homestead"/>
    <x v="1"/>
    <s v="Brazil"/>
    <s v="RJ"/>
    <s v="Rio de Janeiro"/>
    <n v="40"/>
    <n v="30"/>
  </r>
  <r>
    <s v="1061"/>
    <x v="3"/>
    <x v="34"/>
    <x v="37"/>
    <s v="Laura Callahan"/>
    <s v="Plutzer Lebensmittelgroßmärkte AG"/>
    <x v="1"/>
    <s v="Brazil"/>
    <s v="RJ"/>
    <s v="Rio de Janeiro"/>
    <n v="123.79"/>
    <n v="10"/>
  </r>
  <r>
    <s v="1061"/>
    <x v="3"/>
    <x v="34"/>
    <x v="45"/>
    <s v="Laura Callahan"/>
    <s v="Leka Trading"/>
    <x v="1"/>
    <s v="Brazil"/>
    <s v="RJ"/>
    <s v="Rio de Janeiro"/>
    <n v="14"/>
    <n v="14"/>
  </r>
  <r>
    <s v="1061"/>
    <x v="3"/>
    <x v="35"/>
    <x v="34"/>
    <s v="Steven Buchanan"/>
    <s v="G'day, Mate"/>
    <x v="0"/>
    <s v="Brazil"/>
    <s v="RJ"/>
    <s v="Rio de Janeiro"/>
    <n v="42.4"/>
    <n v="18"/>
  </r>
  <r>
    <s v="1061"/>
    <x v="3"/>
    <x v="33"/>
    <x v="46"/>
    <s v="Steven Buchanan"/>
    <s v="Exotic Liquids"/>
    <x v="0"/>
    <s v="Brazil"/>
    <s v="RJ"/>
    <s v="Rio de Janeiro"/>
    <n v="14.4"/>
    <n v="15"/>
  </r>
  <r>
    <s v="1061"/>
    <x v="3"/>
    <x v="35"/>
    <x v="7"/>
    <s v="Steven Buchanan"/>
    <s v="Specialty Biscuits, Ltd."/>
    <x v="0"/>
    <s v="Brazil"/>
    <s v="RJ"/>
    <s v="Rio de Janeiro"/>
    <n v="8"/>
    <n v="10"/>
  </r>
  <r>
    <s v="1061"/>
    <x v="3"/>
    <x v="33"/>
    <x v="7"/>
    <s v="Steven Buchanan"/>
    <s v="Specialty Biscuits, Ltd."/>
    <x v="0"/>
    <s v="Brazil"/>
    <s v="RJ"/>
    <s v="Rio de Janeiro"/>
    <n v="8"/>
    <n v="21"/>
  </r>
  <r>
    <s v="1068"/>
    <x v="4"/>
    <x v="36"/>
    <x v="26"/>
    <s v="Laura Callahan"/>
    <s v="Lyngbysild"/>
    <x v="0"/>
    <s v="Switzerland"/>
    <m/>
    <s v="Genève"/>
    <n v="9.6"/>
    <n v="15"/>
  </r>
  <r>
    <s v="1068"/>
    <x v="4"/>
    <x v="37"/>
    <x v="26"/>
    <s v="Nancy Davolio"/>
    <s v="Lyngbysild"/>
    <x v="1"/>
    <s v="Switzerland"/>
    <m/>
    <s v="Genève"/>
    <n v="12"/>
    <n v="35"/>
  </r>
  <r>
    <s v="1068"/>
    <x v="4"/>
    <x v="38"/>
    <x v="15"/>
    <s v="Andrew Fuller"/>
    <s v="Pavlova, Ltd."/>
    <x v="1"/>
    <s v="Switzerland"/>
    <m/>
    <s v="Genève"/>
    <n v="39"/>
    <n v="12"/>
  </r>
  <r>
    <s v="1068"/>
    <x v="4"/>
    <x v="39"/>
    <x v="23"/>
    <s v="Margaret Peacock"/>
    <s v="Specialty Biscuits, Ltd."/>
    <x v="0"/>
    <s v="Switzerland"/>
    <m/>
    <s v="Genève"/>
    <n v="7.3"/>
    <n v="15"/>
  </r>
  <r>
    <s v="1068"/>
    <x v="4"/>
    <x v="39"/>
    <x v="47"/>
    <s v="Margaret Peacock"/>
    <s v="Pavlova, Ltd."/>
    <x v="0"/>
    <s v="Switzerland"/>
    <m/>
    <s v="Genève"/>
    <n v="12"/>
    <n v="20"/>
  </r>
  <r>
    <s v="1068"/>
    <x v="4"/>
    <x v="40"/>
    <x v="32"/>
    <s v="Margaret Peacock"/>
    <s v="Specialty Biscuits, Ltd."/>
    <x v="0"/>
    <s v="Switzerland"/>
    <m/>
    <s v="Genève"/>
    <n v="12.5"/>
    <n v="18"/>
  </r>
  <r>
    <s v="1068"/>
    <x v="4"/>
    <x v="36"/>
    <x v="20"/>
    <s v="Laura Callahan"/>
    <s v="Bigfoot Breweries"/>
    <x v="0"/>
    <s v="Switzerland"/>
    <m/>
    <s v="Genève"/>
    <n v="11.2"/>
    <n v="20"/>
  </r>
  <r>
    <s v="1068"/>
    <x v="4"/>
    <x v="41"/>
    <x v="48"/>
    <s v="Steven Buchanan"/>
    <s v="PB Knäckebröd AB"/>
    <x v="0"/>
    <s v="Switzerland"/>
    <m/>
    <s v="Genève"/>
    <n v="21"/>
    <n v="15"/>
  </r>
  <r>
    <s v="1068"/>
    <x v="4"/>
    <x v="41"/>
    <x v="41"/>
    <s v="Steven Buchanan"/>
    <s v="Refrescos Americanas LTDA"/>
    <x v="0"/>
    <s v="Switzerland"/>
    <m/>
    <s v="Genève"/>
    <n v="4.5"/>
    <n v="15"/>
  </r>
  <r>
    <s v="1068"/>
    <x v="4"/>
    <x v="37"/>
    <x v="8"/>
    <s v="Nancy Davolio"/>
    <s v="Exotic Liquids"/>
    <x v="1"/>
    <s v="Switzerland"/>
    <m/>
    <s v="Genève"/>
    <n v="19"/>
    <n v="12"/>
  </r>
  <r>
    <s v="1068"/>
    <x v="4"/>
    <x v="42"/>
    <x v="49"/>
    <s v="Laura Callahan"/>
    <s v="Karkki Oy"/>
    <x v="0"/>
    <s v="Switzerland"/>
    <m/>
    <s v="Genève"/>
    <n v="16"/>
    <n v="24"/>
  </r>
  <r>
    <s v="1068"/>
    <x v="4"/>
    <x v="40"/>
    <x v="8"/>
    <s v="Margaret Peacock"/>
    <s v="Exotic Liquids"/>
    <x v="0"/>
    <s v="Switzerland"/>
    <m/>
    <s v="Genève"/>
    <n v="19"/>
    <n v="20"/>
  </r>
  <r>
    <s v="1068"/>
    <x v="4"/>
    <x v="36"/>
    <x v="1"/>
    <s v="Laura Callahan"/>
    <s v="Pavlova, Ltd."/>
    <x v="0"/>
    <s v="Switzerland"/>
    <m/>
    <s v="Genève"/>
    <n v="13.9"/>
    <n v="40"/>
  </r>
  <r>
    <s v="1068"/>
    <x v="4"/>
    <x v="43"/>
    <x v="17"/>
    <s v="Steven Buchanan"/>
    <s v="Gai pâturage"/>
    <x v="1"/>
    <s v="Switzerland"/>
    <m/>
    <s v="Genève"/>
    <n v="55"/>
    <n v="42"/>
  </r>
  <r>
    <s v="1068"/>
    <x v="4"/>
    <x v="38"/>
    <x v="35"/>
    <s v="Andrew Fuller"/>
    <s v="Gai pâturage"/>
    <x v="1"/>
    <s v="Switzerland"/>
    <m/>
    <s v="Genève"/>
    <n v="34"/>
    <n v="35"/>
  </r>
  <r>
    <s v="1068"/>
    <x v="4"/>
    <x v="44"/>
    <x v="39"/>
    <s v="Margaret Peacock"/>
    <s v="New Orleans Cajun Delights"/>
    <x v="0"/>
    <s v="Switzerland"/>
    <m/>
    <s v="Genève"/>
    <n v="16.8"/>
    <n v="35"/>
  </r>
  <r>
    <s v="1068"/>
    <x v="4"/>
    <x v="43"/>
    <x v="8"/>
    <s v="Steven Buchanan"/>
    <s v="Exotic Liquids"/>
    <x v="1"/>
    <s v="Switzerland"/>
    <m/>
    <s v="Genève"/>
    <n v="19"/>
    <n v="5"/>
  </r>
  <r>
    <s v="1068"/>
    <x v="4"/>
    <x v="45"/>
    <x v="50"/>
    <s v="Andrew Fuller"/>
    <s v="G'day, Mate"/>
    <x v="0"/>
    <s v="Switzerland"/>
    <m/>
    <s v="Genève"/>
    <n v="7"/>
    <n v="70"/>
  </r>
  <r>
    <s v="1068"/>
    <x v="4"/>
    <x v="44"/>
    <x v="51"/>
    <s v="Margaret Peacock"/>
    <s v="Norske Meierier"/>
    <x v="0"/>
    <s v="Switzerland"/>
    <m/>
    <s v="Genève"/>
    <n v="17.2"/>
    <n v="2"/>
  </r>
  <r>
    <s v="1068"/>
    <x v="4"/>
    <x v="46"/>
    <x v="11"/>
    <s v="Nancy Davolio"/>
    <s v="Pavlova, Ltd."/>
    <x v="1"/>
    <s v="Switzerland"/>
    <m/>
    <s v="Genève"/>
    <n v="62.5"/>
    <n v="25"/>
  </r>
  <r>
    <s v="1068"/>
    <x v="4"/>
    <x v="46"/>
    <x v="1"/>
    <s v="Nancy Davolio"/>
    <s v="Pavlova, Ltd."/>
    <x v="1"/>
    <s v="Switzerland"/>
    <m/>
    <s v="Genève"/>
    <n v="17.45"/>
    <n v="30"/>
  </r>
  <r>
    <s v="1068"/>
    <x v="4"/>
    <x v="45"/>
    <x v="19"/>
    <s v="Andrew Fuller"/>
    <s v="Svensk Sjöföda AB"/>
    <x v="0"/>
    <s v="Switzerland"/>
    <m/>
    <s v="Genève"/>
    <n v="19"/>
    <n v="25"/>
  </r>
  <r>
    <s v="1068"/>
    <x v="4"/>
    <x v="42"/>
    <x v="35"/>
    <s v="Laura Callahan"/>
    <s v="Gai pâturage"/>
    <x v="0"/>
    <s v="Switzerland"/>
    <m/>
    <s v="Genève"/>
    <n v="27.2"/>
    <n v="40"/>
  </r>
  <r>
    <s v="1068"/>
    <x v="4"/>
    <x v="43"/>
    <x v="52"/>
    <s v="Steven Buchanan"/>
    <s v="Heli Süßwaren GmbH &amp; Co. KG"/>
    <x v="1"/>
    <s v="Switzerland"/>
    <m/>
    <s v="Genève"/>
    <n v="14"/>
    <n v="10"/>
  </r>
  <r>
    <s v="1068"/>
    <x v="4"/>
    <x v="44"/>
    <x v="23"/>
    <s v="Margaret Peacock"/>
    <s v="Specialty Biscuits, Ltd."/>
    <x v="0"/>
    <s v="Switzerland"/>
    <m/>
    <s v="Genève"/>
    <n v="7.3"/>
    <n v="40"/>
  </r>
  <r>
    <s v="1068"/>
    <x v="4"/>
    <x v="43"/>
    <x v="53"/>
    <s v="Steven Buchanan"/>
    <s v="Pasta Buttini s.r.l."/>
    <x v="1"/>
    <s v="Switzerland"/>
    <m/>
    <s v="Genève"/>
    <n v="19.5"/>
    <n v="10"/>
  </r>
  <r>
    <s v="1068"/>
    <x v="4"/>
    <x v="38"/>
    <x v="54"/>
    <s v="Andrew Fuller"/>
    <s v="Mayumi's"/>
    <x v="1"/>
    <s v="Switzerland"/>
    <m/>
    <s v="Genève"/>
    <n v="6"/>
    <n v="30"/>
  </r>
  <r>
    <s v="1073"/>
    <x v="5"/>
    <x v="47"/>
    <x v="44"/>
    <s v="Nancy Davolio"/>
    <s v="Aux joyeux ecclésiastiques"/>
    <x v="0"/>
    <s v="Denmark"/>
    <m/>
    <s v="København"/>
    <n v="14.4"/>
    <n v="20"/>
  </r>
  <r>
    <s v="1073"/>
    <x v="5"/>
    <x v="48"/>
    <x v="46"/>
    <s v="Steven Buchanan"/>
    <s v="Exotic Liquids"/>
    <x v="1"/>
    <s v="Denmark"/>
    <m/>
    <s v="København"/>
    <n v="18"/>
    <n v="40"/>
  </r>
  <r>
    <s v="1073"/>
    <x v="5"/>
    <x v="48"/>
    <x v="32"/>
    <s v="Steven Buchanan"/>
    <s v="Specialty Biscuits, Ltd."/>
    <x v="1"/>
    <s v="Denmark"/>
    <m/>
    <s v="København"/>
    <n v="12.5"/>
    <n v="20"/>
  </r>
  <r>
    <s v="1073"/>
    <x v="5"/>
    <x v="48"/>
    <x v="55"/>
    <s v="Steven Buchanan"/>
    <s v="PB Knäckebröd AB"/>
    <x v="1"/>
    <s v="Denmark"/>
    <m/>
    <s v="København"/>
    <n v="9"/>
    <n v="50"/>
  </r>
  <r>
    <s v="1073"/>
    <x v="5"/>
    <x v="48"/>
    <x v="56"/>
    <s v="Steven Buchanan"/>
    <s v="Las Cabras"/>
    <x v="1"/>
    <s v="Denmark"/>
    <m/>
    <s v="København"/>
    <n v="21"/>
    <n v="10"/>
  </r>
  <r>
    <s v="1073"/>
    <x v="5"/>
    <x v="47"/>
    <x v="31"/>
    <s v="Nancy Davolio"/>
    <s v="Plutzer Lebensmittelgroßmärkte AG"/>
    <x v="0"/>
    <s v="Denmark"/>
    <m/>
    <s v="København"/>
    <n v="36.4"/>
    <n v="20"/>
  </r>
  <r>
    <s v="1073"/>
    <x v="5"/>
    <x v="49"/>
    <x v="41"/>
    <s v="Laura Callahan"/>
    <s v="Refrescos Americanas LTDA"/>
    <x v="0"/>
    <s v="Denmark"/>
    <m/>
    <s v="København"/>
    <n v="3.6"/>
    <n v="80"/>
  </r>
  <r>
    <s v="1073"/>
    <x v="5"/>
    <x v="50"/>
    <x v="57"/>
    <s v="Robert King"/>
    <s v="New England Seafood Cannery"/>
    <x v="0"/>
    <s v="Denmark"/>
    <m/>
    <s v="København"/>
    <n v="9.65"/>
    <n v="6"/>
  </r>
  <r>
    <s v="1073"/>
    <x v="5"/>
    <x v="50"/>
    <x v="58"/>
    <s v="Robert King"/>
    <s v="Svensk Sjöföda AB"/>
    <x v="0"/>
    <s v="Denmark"/>
    <m/>
    <s v="København"/>
    <n v="26"/>
    <n v="18"/>
  </r>
  <r>
    <s v="1073"/>
    <x v="5"/>
    <x v="50"/>
    <x v="59"/>
    <s v="Robert King"/>
    <s v="Specialty Biscuits, Ltd."/>
    <x v="0"/>
    <s v="Denmark"/>
    <m/>
    <s v="København"/>
    <n v="81"/>
    <n v="15"/>
  </r>
  <r>
    <s v="1073"/>
    <x v="5"/>
    <x v="50"/>
    <x v="15"/>
    <s v="Robert King"/>
    <s v="Pavlova, Ltd."/>
    <x v="0"/>
    <s v="Denmark"/>
    <m/>
    <s v="København"/>
    <n v="39"/>
    <n v="25"/>
  </r>
  <r>
    <s v="1073"/>
    <x v="5"/>
    <x v="51"/>
    <x v="35"/>
    <s v="Steven Buchanan"/>
    <s v="Gai pâturage"/>
    <x v="0"/>
    <s v="Denmark"/>
    <m/>
    <s v="København"/>
    <n v="27.2"/>
    <n v="80"/>
  </r>
  <r>
    <s v="1073"/>
    <x v="5"/>
    <x v="51"/>
    <x v="60"/>
    <s v="Steven Buchanan"/>
    <s v="Formaggi Fortini s.r.l."/>
    <x v="0"/>
    <s v="Denmark"/>
    <m/>
    <s v="København"/>
    <n v="10"/>
    <n v="70"/>
  </r>
  <r>
    <s v="1073"/>
    <x v="5"/>
    <x v="52"/>
    <x v="19"/>
    <s v="Janet Leverling"/>
    <s v="Svensk Sjöföda AB"/>
    <x v="0"/>
    <s v="Denmark"/>
    <m/>
    <s v="København"/>
    <n v="19"/>
    <n v="60"/>
  </r>
  <r>
    <s v="1073"/>
    <x v="5"/>
    <x v="53"/>
    <x v="6"/>
    <s v="Andrew Fuller"/>
    <s v="G'day, Mate"/>
    <x v="0"/>
    <s v="Denmark"/>
    <m/>
    <s v="København"/>
    <n v="26.2"/>
    <n v="40"/>
  </r>
  <r>
    <s v="1073"/>
    <x v="5"/>
    <x v="53"/>
    <x v="50"/>
    <s v="Andrew Fuller"/>
    <s v="G'day, Mate"/>
    <x v="0"/>
    <s v="Denmark"/>
    <m/>
    <s v="København"/>
    <n v="5.6"/>
    <n v="20"/>
  </r>
  <r>
    <s v="1073"/>
    <x v="5"/>
    <x v="49"/>
    <x v="34"/>
    <s v="Laura Callahan"/>
    <s v="G'day, Mate"/>
    <x v="0"/>
    <s v="Denmark"/>
    <m/>
    <s v="København"/>
    <n v="42.4"/>
    <n v="18"/>
  </r>
  <r>
    <s v="1073"/>
    <x v="5"/>
    <x v="52"/>
    <x v="61"/>
    <s v="Janet Leverling"/>
    <s v="Formaggi Fortini s.r.l."/>
    <x v="0"/>
    <s v="Denmark"/>
    <m/>
    <s v="København"/>
    <n v="32"/>
    <n v="24"/>
  </r>
  <r>
    <s v="1073"/>
    <x v="5"/>
    <x v="54"/>
    <x v="49"/>
    <s v="Michael Suyama"/>
    <s v="Karkki Oy"/>
    <x v="1"/>
    <s v="Denmark"/>
    <m/>
    <s v="København"/>
    <n v="20"/>
    <n v="4"/>
  </r>
  <r>
    <s v="1073"/>
    <x v="5"/>
    <x v="54"/>
    <x v="31"/>
    <s v="Michael Suyama"/>
    <s v="Plutzer Lebensmittelgroßmärkte AG"/>
    <x v="1"/>
    <s v="Denmark"/>
    <m/>
    <s v="København"/>
    <n v="45.6"/>
    <n v="24"/>
  </r>
  <r>
    <s v="1073"/>
    <x v="5"/>
    <x v="54"/>
    <x v="43"/>
    <s v="Michael Suyama"/>
    <s v="Tokyo Traders"/>
    <x v="1"/>
    <s v="Denmark"/>
    <m/>
    <s v="København"/>
    <n v="31"/>
    <n v="36"/>
  </r>
  <r>
    <s v="1073"/>
    <x v="5"/>
    <x v="51"/>
    <x v="1"/>
    <s v="Steven Buchanan"/>
    <s v="Pavlova, Ltd."/>
    <x v="0"/>
    <s v="Denmark"/>
    <m/>
    <s v="København"/>
    <n v="13.9"/>
    <n v="56"/>
  </r>
  <r>
    <s v="1073"/>
    <x v="5"/>
    <x v="53"/>
    <x v="21"/>
    <s v="Andrew Fuller"/>
    <s v="Lyngbysild"/>
    <x v="0"/>
    <s v="Denmark"/>
    <m/>
    <s v="København"/>
    <n v="7.6"/>
    <n v="15"/>
  </r>
  <r>
    <s v="1073"/>
    <x v="5"/>
    <x v="55"/>
    <x v="0"/>
    <s v="Nancy Davolio"/>
    <s v="Ma Maison"/>
    <x v="1"/>
    <s v="Denmark"/>
    <m/>
    <s v="København"/>
    <n v="7.45"/>
    <n v="7"/>
  </r>
  <r>
    <s v="1073"/>
    <x v="5"/>
    <x v="55"/>
    <x v="56"/>
    <s v="Nancy Davolio"/>
    <s v="Las Cabras"/>
    <x v="1"/>
    <s v="Denmark"/>
    <m/>
    <s v="København"/>
    <n v="21"/>
    <n v="50"/>
  </r>
  <r>
    <s v="1073"/>
    <x v="5"/>
    <x v="55"/>
    <x v="34"/>
    <s v="Nancy Davolio"/>
    <s v="G'day, Mate"/>
    <x v="1"/>
    <s v="Denmark"/>
    <m/>
    <s v="København"/>
    <n v="53"/>
    <n v="10"/>
  </r>
  <r>
    <s v="1086"/>
    <x v="6"/>
    <x v="56"/>
    <x v="19"/>
    <s v="Janet Leverling"/>
    <s v="Svensk Sjöföda AB"/>
    <x v="0"/>
    <s v="Germany"/>
    <m/>
    <s v="Stuttgart"/>
    <n v="19"/>
    <n v="6"/>
  </r>
  <r>
    <s v="1086"/>
    <x v="6"/>
    <x v="57"/>
    <x v="57"/>
    <s v="Andrew Fuller"/>
    <s v="New England Seafood Cannery"/>
    <x v="0"/>
    <s v="Germany"/>
    <m/>
    <s v="Stuttgart"/>
    <n v="9.65"/>
    <n v="12"/>
  </r>
  <r>
    <s v="1086"/>
    <x v="6"/>
    <x v="57"/>
    <x v="54"/>
    <s v="Andrew Fuller"/>
    <s v="Mayumi's"/>
    <x v="0"/>
    <s v="Germany"/>
    <m/>
    <s v="Stuttgart"/>
    <n v="6"/>
    <n v="4"/>
  </r>
  <r>
    <s v="1086"/>
    <x v="6"/>
    <x v="56"/>
    <x v="50"/>
    <s v="Janet Leverling"/>
    <s v="G'day, Mate"/>
    <x v="0"/>
    <s v="Germany"/>
    <m/>
    <s v="Stuttgart"/>
    <n v="7"/>
    <n v="18"/>
  </r>
  <r>
    <s v="1086"/>
    <x v="6"/>
    <x v="58"/>
    <x v="30"/>
    <s v="Michael Suyama"/>
    <s v="Formaggi Fortini s.r.l."/>
    <x v="0"/>
    <s v="Germany"/>
    <m/>
    <s v="Stuttgart"/>
    <n v="27.8"/>
    <n v="7"/>
  </r>
  <r>
    <s v="1086"/>
    <x v="6"/>
    <x v="58"/>
    <x v="51"/>
    <s v="Michael Suyama"/>
    <s v="Norske Meierier"/>
    <x v="0"/>
    <s v="Germany"/>
    <m/>
    <s v="Stuttgart"/>
    <n v="17.2"/>
    <n v="20"/>
  </r>
  <r>
    <s v="1086"/>
    <x v="6"/>
    <x v="59"/>
    <x v="45"/>
    <s v="Steven Buchanan"/>
    <s v="Leka Trading"/>
    <x v="0"/>
    <s v="Germany"/>
    <m/>
    <s v="Stuttgart"/>
    <n v="9.8000000000000007"/>
    <n v="10"/>
  </r>
  <r>
    <s v="1086"/>
    <x v="6"/>
    <x v="59"/>
    <x v="30"/>
    <s v="Steven Buchanan"/>
    <s v="Formaggi Fortini s.r.l."/>
    <x v="0"/>
    <s v="Germany"/>
    <m/>
    <s v="Stuttgart"/>
    <n v="34.799999999999997"/>
    <n v="5"/>
  </r>
  <r>
    <s v="1086"/>
    <x v="6"/>
    <x v="59"/>
    <x v="4"/>
    <s v="Steven Buchanan"/>
    <s v="Forêts d'érables"/>
    <x v="0"/>
    <s v="Germany"/>
    <m/>
    <s v="Stuttgart"/>
    <n v="14"/>
    <n v="12"/>
  </r>
  <r>
    <s v="1086"/>
    <x v="6"/>
    <x v="19"/>
    <x v="22"/>
    <s v="Andrew Fuller"/>
    <s v="Pasta Buttini s.r.l."/>
    <x v="0"/>
    <s v="Germany"/>
    <m/>
    <s v="Stuttgart"/>
    <n v="30.4"/>
    <n v="4"/>
  </r>
  <r>
    <s v="1066"/>
    <x v="7"/>
    <x v="60"/>
    <x v="18"/>
    <s v="Anne Dodsworth"/>
    <s v="Aux joyeux ecclésiastiques"/>
    <x v="1"/>
    <s v="Italy"/>
    <m/>
    <s v="Reggio Emilia"/>
    <n v="263.5"/>
    <n v="40"/>
  </r>
  <r>
    <s v="1066"/>
    <x v="7"/>
    <x v="61"/>
    <x v="44"/>
    <s v="Nancy Davolio"/>
    <s v="Aux joyeux ecclésiastiques"/>
    <x v="1"/>
    <s v="Italy"/>
    <m/>
    <s v="Reggio Emilia"/>
    <n v="18"/>
    <n v="2"/>
  </r>
  <r>
    <s v="1066"/>
    <x v="7"/>
    <x v="61"/>
    <x v="57"/>
    <s v="Nancy Davolio"/>
    <s v="New England Seafood Cannery"/>
    <x v="1"/>
    <s v="Italy"/>
    <m/>
    <s v="Reggio Emilia"/>
    <n v="9.65"/>
    <n v="3"/>
  </r>
  <r>
    <s v="1066"/>
    <x v="7"/>
    <x v="60"/>
    <x v="56"/>
    <s v="Anne Dodsworth"/>
    <s v="Las Cabras"/>
    <x v="1"/>
    <s v="Italy"/>
    <m/>
    <s v="Reggio Emilia"/>
    <n v="21"/>
    <n v="40"/>
  </r>
  <r>
    <s v="1066"/>
    <x v="7"/>
    <x v="61"/>
    <x v="16"/>
    <s v="Nancy Davolio"/>
    <s v="Plutzer Lebensmittelgroßmärkte AG"/>
    <x v="1"/>
    <s v="Italy"/>
    <m/>
    <s v="Reggio Emilia"/>
    <n v="13"/>
    <n v="2"/>
  </r>
  <r>
    <s v="1066"/>
    <x v="7"/>
    <x v="61"/>
    <x v="27"/>
    <s v="Nancy Davolio"/>
    <s v="Plutzer Lebensmittelgroßmärkte AG"/>
    <x v="1"/>
    <s v="Italy"/>
    <m/>
    <s v="Reggio Emilia"/>
    <n v="7.75"/>
    <n v="4"/>
  </r>
  <r>
    <s v="1066"/>
    <x v="7"/>
    <x v="61"/>
    <x v="24"/>
    <s v="Nancy Davolio"/>
    <s v="Svensk Sjöföda AB"/>
    <x v="1"/>
    <s v="Italy"/>
    <m/>
    <s v="Reggio Emilia"/>
    <n v="15"/>
    <n v="2"/>
  </r>
  <r>
    <s v="1066"/>
    <x v="7"/>
    <x v="61"/>
    <x v="62"/>
    <s v="Nancy Davolio"/>
    <s v="Plutzer Lebensmittelgroßmärkte AG"/>
    <x v="1"/>
    <s v="Italy"/>
    <m/>
    <s v="Reggio Emilia"/>
    <n v="33.25"/>
    <n v="2"/>
  </r>
  <r>
    <s v="1066"/>
    <x v="7"/>
    <x v="62"/>
    <x v="36"/>
    <s v="Janet Leverling"/>
    <s v="Grandma Kelly's Homestead"/>
    <x v="1"/>
    <s v="Italy"/>
    <m/>
    <s v="Reggio Emilia"/>
    <n v="30"/>
    <n v="60"/>
  </r>
  <r>
    <s v="1066"/>
    <x v="7"/>
    <x v="63"/>
    <x v="16"/>
    <s v="Andrew Fuller"/>
    <s v="Plutzer Lebensmittelgroßmärkte AG"/>
    <x v="1"/>
    <s v="Italy"/>
    <m/>
    <s v="Reggio Emilia"/>
    <n v="13"/>
    <n v="30"/>
  </r>
  <r>
    <s v="1066"/>
    <x v="7"/>
    <x v="62"/>
    <x v="9"/>
    <s v="Janet Leverling"/>
    <s v="Forêts d'érables"/>
    <x v="1"/>
    <s v="Italy"/>
    <m/>
    <s v="Reggio Emilia"/>
    <n v="49.3"/>
    <n v="40"/>
  </r>
  <r>
    <s v="1066"/>
    <x v="7"/>
    <x v="43"/>
    <x v="8"/>
    <s v="Laura Callahan"/>
    <s v="Exotic Liquids"/>
    <x v="1"/>
    <s v="Italy"/>
    <m/>
    <s v="Reggio Emilia"/>
    <n v="19"/>
    <n v="15"/>
  </r>
  <r>
    <s v="1066"/>
    <x v="7"/>
    <x v="61"/>
    <x v="63"/>
    <s v="Nancy Davolio"/>
    <s v="Ma Maison"/>
    <x v="1"/>
    <s v="Italy"/>
    <m/>
    <s v="Reggio Emilia"/>
    <n v="24"/>
    <n v="2"/>
  </r>
  <r>
    <s v="1066"/>
    <x v="7"/>
    <x v="61"/>
    <x v="50"/>
    <s v="Nancy Davolio"/>
    <s v="G'day, Mate"/>
    <x v="1"/>
    <s v="Italy"/>
    <m/>
    <s v="Reggio Emilia"/>
    <n v="7"/>
    <n v="2"/>
  </r>
  <r>
    <s v="1066"/>
    <x v="7"/>
    <x v="61"/>
    <x v="26"/>
    <s v="Nancy Davolio"/>
    <s v="Lyngbysild"/>
    <x v="1"/>
    <s v="Italy"/>
    <m/>
    <s v="Reggio Emilia"/>
    <n v="12"/>
    <n v="3"/>
  </r>
  <r>
    <s v="1066"/>
    <x v="7"/>
    <x v="64"/>
    <x v="25"/>
    <s v="Nancy Davolio"/>
    <s v="Escargots Nouveaux"/>
    <x v="0"/>
    <s v="Italy"/>
    <m/>
    <s v="Reggio Emilia"/>
    <n v="10.6"/>
    <n v="30"/>
  </r>
  <r>
    <s v="1066"/>
    <x v="7"/>
    <x v="64"/>
    <x v="61"/>
    <s v="Nancy Davolio"/>
    <s v="Formaggi Fortini s.r.l."/>
    <x v="0"/>
    <s v="Italy"/>
    <m/>
    <s v="Reggio Emilia"/>
    <n v="25.6"/>
    <n v="40"/>
  </r>
  <r>
    <s v="1066"/>
    <x v="7"/>
    <x v="64"/>
    <x v="9"/>
    <s v="Nancy Davolio"/>
    <s v="Forêts d'érables"/>
    <x v="0"/>
    <s v="Italy"/>
    <m/>
    <s v="Reggio Emilia"/>
    <n v="39.4"/>
    <n v="25"/>
  </r>
  <r>
    <s v="1066"/>
    <x v="7"/>
    <x v="65"/>
    <x v="22"/>
    <s v="Laura Callahan"/>
    <s v="Pasta Buttini s.r.l."/>
    <x v="0"/>
    <s v="Italy"/>
    <m/>
    <s v="Reggio Emilia"/>
    <n v="30.4"/>
    <n v="2"/>
  </r>
  <r>
    <s v="1066"/>
    <x v="7"/>
    <x v="65"/>
    <x v="36"/>
    <s v="Laura Callahan"/>
    <s v="Grandma Kelly's Homestead"/>
    <x v="0"/>
    <s v="Italy"/>
    <m/>
    <s v="Reggio Emilia"/>
    <n v="24"/>
    <n v="15"/>
  </r>
  <r>
    <s v="1066"/>
    <x v="7"/>
    <x v="65"/>
    <x v="64"/>
    <s v="Laura Callahan"/>
    <s v="New Orleans Cajun Delights"/>
    <x v="0"/>
    <s v="Italy"/>
    <m/>
    <s v="Reggio Emilia"/>
    <n v="17"/>
    <n v="12"/>
  </r>
  <r>
    <s v="1066"/>
    <x v="7"/>
    <x v="66"/>
    <x v="33"/>
    <s v="Nancy Davolio"/>
    <s v="Nord-Ost-Fisch Handelsgesellschaft mbH"/>
    <x v="0"/>
    <s v="Italy"/>
    <m/>
    <s v="Reggio Emilia"/>
    <n v="20.7"/>
    <n v="18"/>
  </r>
  <r>
    <s v="1066"/>
    <x v="7"/>
    <x v="66"/>
    <x v="22"/>
    <s v="Nancy Davolio"/>
    <s v="Pasta Buttini s.r.l."/>
    <x v="0"/>
    <s v="Italy"/>
    <m/>
    <s v="Reggio Emilia"/>
    <n v="30.4"/>
    <n v="70"/>
  </r>
  <r>
    <s v="1066"/>
    <x v="7"/>
    <x v="43"/>
    <x v="9"/>
    <s v="Laura Callahan"/>
    <s v="Forêts d'érables"/>
    <x v="1"/>
    <s v="Italy"/>
    <m/>
    <s v="Reggio Emilia"/>
    <n v="49.3"/>
    <n v="50"/>
  </r>
  <r>
    <s v="1066"/>
    <x v="7"/>
    <x v="66"/>
    <x v="51"/>
    <s v="Nancy Davolio"/>
    <s v="Norske Meierier"/>
    <x v="0"/>
    <s v="Italy"/>
    <m/>
    <s v="Reggio Emilia"/>
    <n v="17.2"/>
    <n v="60"/>
  </r>
  <r>
    <s v="1066"/>
    <x v="7"/>
    <x v="63"/>
    <x v="41"/>
    <s v="Andrew Fuller"/>
    <s v="Refrescos Americanas LTDA"/>
    <x v="1"/>
    <s v="Italy"/>
    <m/>
    <s v="Reggio Emilia"/>
    <n v="4.5"/>
    <n v="30"/>
  </r>
  <r>
    <s v="1066"/>
    <x v="7"/>
    <x v="45"/>
    <x v="63"/>
    <s v="Margaret Peacock"/>
    <s v="Ma Maison"/>
    <x v="0"/>
    <s v="Italy"/>
    <m/>
    <s v="Reggio Emilia"/>
    <n v="24"/>
    <n v="25"/>
  </r>
  <r>
    <s v="1066"/>
    <x v="7"/>
    <x v="67"/>
    <x v="51"/>
    <s v="Nancy Davolio"/>
    <s v="Norske Meierier"/>
    <x v="0"/>
    <s v="Italy"/>
    <m/>
    <s v="Reggio Emilia"/>
    <n v="21.5"/>
    <n v="9"/>
  </r>
  <r>
    <s v="1066"/>
    <x v="7"/>
    <x v="67"/>
    <x v="65"/>
    <s v="Nancy Davolio"/>
    <s v="Heli Süßwaren GmbH &amp; Co. KG"/>
    <x v="0"/>
    <s v="Italy"/>
    <m/>
    <s v="Reggio Emilia"/>
    <n v="43.9"/>
    <n v="50"/>
  </r>
  <r>
    <s v="1066"/>
    <x v="7"/>
    <x v="61"/>
    <x v="35"/>
    <s v="Nancy Davolio"/>
    <s v="Gai pâturage"/>
    <x v="1"/>
    <s v="Italy"/>
    <m/>
    <s v="Reggio Emilia"/>
    <n v="34"/>
    <n v="2"/>
  </r>
  <r>
    <s v="1066"/>
    <x v="7"/>
    <x v="43"/>
    <x v="15"/>
    <s v="Laura Callahan"/>
    <s v="Pavlova, Ltd."/>
    <x v="1"/>
    <s v="Italy"/>
    <m/>
    <s v="Reggio Emilia"/>
    <n v="39"/>
    <n v="6"/>
  </r>
  <r>
    <s v="1066"/>
    <x v="7"/>
    <x v="61"/>
    <x v="61"/>
    <s v="Nancy Davolio"/>
    <s v="Formaggi Fortini s.r.l."/>
    <x v="1"/>
    <s v="Italy"/>
    <m/>
    <s v="Reggio Emilia"/>
    <n v="32"/>
    <n v="1"/>
  </r>
  <r>
    <s v="1066"/>
    <x v="7"/>
    <x v="63"/>
    <x v="3"/>
    <s v="Andrew Fuller"/>
    <s v="New Orleans Cajun Delights"/>
    <x v="1"/>
    <s v="Italy"/>
    <m/>
    <s v="Reggio Emilia"/>
    <n v="22"/>
    <n v="25"/>
  </r>
  <r>
    <s v="1066"/>
    <x v="7"/>
    <x v="66"/>
    <x v="39"/>
    <s v="Nancy Davolio"/>
    <s v="New Orleans Cajun Delights"/>
    <x v="0"/>
    <s v="Italy"/>
    <m/>
    <s v="Reggio Emilia"/>
    <n v="16.8"/>
    <n v="20"/>
  </r>
  <r>
    <s v="1066"/>
    <x v="7"/>
    <x v="35"/>
    <x v="9"/>
    <s v="Nancy Davolio"/>
    <s v="Forêts d'érables"/>
    <x v="0"/>
    <s v="Italy"/>
    <m/>
    <s v="Reggio Emilia"/>
    <n v="39.4"/>
    <n v="70"/>
  </r>
  <r>
    <s v="1066"/>
    <x v="7"/>
    <x v="68"/>
    <x v="30"/>
    <s v="Michael Suyama"/>
    <s v="Formaggi Fortini s.r.l."/>
    <x v="0"/>
    <s v="Italy"/>
    <m/>
    <s v="Reggio Emilia"/>
    <n v="27.8"/>
    <n v="24"/>
  </r>
  <r>
    <s v="1066"/>
    <x v="7"/>
    <x v="69"/>
    <x v="60"/>
    <s v="Steven Buchanan"/>
    <s v="Formaggi Fortini s.r.l."/>
    <x v="0"/>
    <s v="Italy"/>
    <m/>
    <s v="Reggio Emilia"/>
    <n v="12.5"/>
    <n v="35"/>
  </r>
  <r>
    <s v="1066"/>
    <x v="7"/>
    <x v="69"/>
    <x v="40"/>
    <s v="Steven Buchanan"/>
    <s v="Karkki Oy"/>
    <x v="0"/>
    <s v="Italy"/>
    <m/>
    <s v="Reggio Emilia"/>
    <n v="18"/>
    <n v="30"/>
  </r>
  <r>
    <s v="1066"/>
    <x v="7"/>
    <x v="70"/>
    <x v="15"/>
    <s v="Margaret Peacock"/>
    <s v="Pavlova, Ltd."/>
    <x v="0"/>
    <s v="Italy"/>
    <m/>
    <s v="Reggio Emilia"/>
    <n v="31.2"/>
    <n v="15"/>
  </r>
  <r>
    <s v="1066"/>
    <x v="7"/>
    <x v="71"/>
    <x v="18"/>
    <s v="Janet Leverling"/>
    <s v="Aux joyeux ecclésiastiques"/>
    <x v="0"/>
    <s v="Italy"/>
    <m/>
    <s v="Reggio Emilia"/>
    <n v="210.8"/>
    <n v="30"/>
  </r>
  <r>
    <s v="1066"/>
    <x v="7"/>
    <x v="71"/>
    <x v="6"/>
    <s v="Janet Leverling"/>
    <s v="G'day, Mate"/>
    <x v="0"/>
    <s v="Italy"/>
    <m/>
    <s v="Reggio Emilia"/>
    <n v="26.2"/>
    <n v="28"/>
  </r>
  <r>
    <s v="1066"/>
    <x v="7"/>
    <x v="71"/>
    <x v="17"/>
    <s v="Janet Leverling"/>
    <s v="Gai pâturage"/>
    <x v="0"/>
    <s v="Italy"/>
    <m/>
    <s v="Reggio Emilia"/>
    <n v="44"/>
    <n v="60"/>
  </r>
  <r>
    <s v="1066"/>
    <x v="7"/>
    <x v="61"/>
    <x v="66"/>
    <s v="Nancy Davolio"/>
    <s v="Exotic Liquids"/>
    <x v="1"/>
    <s v="Italy"/>
    <m/>
    <s v="Reggio Emilia"/>
    <n v="10"/>
    <n v="4"/>
  </r>
  <r>
    <s v="1066"/>
    <x v="7"/>
    <x v="68"/>
    <x v="59"/>
    <s v="Michael Suyama"/>
    <s v="Specialty Biscuits, Ltd."/>
    <x v="0"/>
    <s v="Italy"/>
    <m/>
    <s v="Reggio Emilia"/>
    <n v="64.8"/>
    <n v="6"/>
  </r>
  <r>
    <s v="1066"/>
    <x v="7"/>
    <x v="70"/>
    <x v="38"/>
    <s v="Margaret Peacock"/>
    <s v="Leka Trading"/>
    <x v="0"/>
    <s v="Italy"/>
    <m/>
    <s v="Reggio Emilia"/>
    <n v="36.799999999999997"/>
    <n v="15"/>
  </r>
  <r>
    <s v="1066"/>
    <x v="7"/>
    <x v="35"/>
    <x v="57"/>
    <s v="Nancy Davolio"/>
    <s v="New England Seafood Cannery"/>
    <x v="0"/>
    <s v="Italy"/>
    <m/>
    <s v="Reggio Emilia"/>
    <n v="7.7"/>
    <n v="10"/>
  </r>
  <r>
    <s v="1066"/>
    <x v="7"/>
    <x v="72"/>
    <x v="22"/>
    <s v="Janet Leverling"/>
    <s v="Pasta Buttini s.r.l."/>
    <x v="0"/>
    <s v="Italy"/>
    <m/>
    <s v="Reggio Emilia"/>
    <n v="30.4"/>
    <n v="20"/>
  </r>
  <r>
    <s v="1066"/>
    <x v="7"/>
    <x v="72"/>
    <x v="15"/>
    <s v="Janet Leverling"/>
    <s v="Pavlova, Ltd."/>
    <x v="0"/>
    <s v="Italy"/>
    <m/>
    <s v="Reggio Emilia"/>
    <n v="31.2"/>
    <n v="36"/>
  </r>
  <r>
    <s v="1066"/>
    <x v="7"/>
    <x v="61"/>
    <x v="67"/>
    <s v="Nancy Davolio"/>
    <s v="New Orleans Cajun Delights"/>
    <x v="1"/>
    <s v="Italy"/>
    <m/>
    <s v="Reggio Emilia"/>
    <n v="17"/>
    <n v="1"/>
  </r>
  <r>
    <s v="1066"/>
    <x v="7"/>
    <x v="61"/>
    <x v="55"/>
    <s v="Nancy Davolio"/>
    <s v="PB Knäckebröd AB"/>
    <x v="1"/>
    <s v="Italy"/>
    <m/>
    <s v="Reggio Emilia"/>
    <n v="9"/>
    <n v="2"/>
  </r>
  <r>
    <s v="1066"/>
    <x v="7"/>
    <x v="73"/>
    <x v="22"/>
    <s v="Janet Leverling"/>
    <s v="Pasta Buttini s.r.l."/>
    <x v="1"/>
    <s v="Italy"/>
    <m/>
    <s v="Reggio Emilia"/>
    <n v="38"/>
    <n v="30"/>
  </r>
  <r>
    <s v="1066"/>
    <x v="7"/>
    <x v="68"/>
    <x v="60"/>
    <s v="Michael Suyama"/>
    <s v="Formaggi Fortini s.r.l."/>
    <x v="0"/>
    <s v="Italy"/>
    <m/>
    <s v="Reggio Emilia"/>
    <n v="10"/>
    <n v="40"/>
  </r>
  <r>
    <s v="1066"/>
    <x v="7"/>
    <x v="70"/>
    <x v="46"/>
    <s v="Margaret Peacock"/>
    <s v="Exotic Liquids"/>
    <x v="0"/>
    <s v="Italy"/>
    <m/>
    <s v="Reggio Emilia"/>
    <n v="14.4"/>
    <n v="18"/>
  </r>
  <r>
    <s v="1066"/>
    <x v="7"/>
    <x v="70"/>
    <x v="27"/>
    <s v="Margaret Peacock"/>
    <s v="Plutzer Lebensmittelgroßmärkte AG"/>
    <x v="0"/>
    <s v="Italy"/>
    <m/>
    <s v="Reggio Emilia"/>
    <n v="6.2"/>
    <n v="6"/>
  </r>
  <r>
    <s v="1066"/>
    <x v="7"/>
    <x v="61"/>
    <x v="59"/>
    <s v="Nancy Davolio"/>
    <s v="Specialty Biscuits, Ltd."/>
    <x v="1"/>
    <s v="Italy"/>
    <m/>
    <s v="Reggio Emilia"/>
    <n v="81"/>
    <n v="1"/>
  </r>
  <r>
    <s v="1066"/>
    <x v="7"/>
    <x v="61"/>
    <x v="1"/>
    <s v="Nancy Davolio"/>
    <s v="Pavlova, Ltd."/>
    <x v="1"/>
    <s v="Italy"/>
    <m/>
    <s v="Reggio Emilia"/>
    <n v="17.45"/>
    <n v="2"/>
  </r>
  <r>
    <s v="1066"/>
    <x v="7"/>
    <x v="45"/>
    <x v="60"/>
    <s v="Margaret Peacock"/>
    <s v="Formaggi Fortini s.r.l."/>
    <x v="0"/>
    <s v="Italy"/>
    <m/>
    <s v="Reggio Emilia"/>
    <n v="12.5"/>
    <n v="6"/>
  </r>
  <r>
    <s v="1066"/>
    <x v="7"/>
    <x v="61"/>
    <x v="68"/>
    <s v="Nancy Davolio"/>
    <s v="Mayumi's"/>
    <x v="1"/>
    <s v="Italy"/>
    <m/>
    <s v="Reggio Emilia"/>
    <n v="23.25"/>
    <n v="1"/>
  </r>
  <r>
    <s v="1066"/>
    <x v="7"/>
    <x v="61"/>
    <x v="54"/>
    <s v="Nancy Davolio"/>
    <s v="Mayumi's"/>
    <x v="1"/>
    <s v="Italy"/>
    <m/>
    <s v="Reggio Emilia"/>
    <n v="6"/>
    <n v="4"/>
  </r>
  <r>
    <s v="1066"/>
    <x v="7"/>
    <x v="61"/>
    <x v="69"/>
    <s v="Nancy Davolio"/>
    <s v="Las Cabras"/>
    <x v="1"/>
    <s v="Italy"/>
    <m/>
    <s v="Reggio Emilia"/>
    <n v="38"/>
    <n v="2"/>
  </r>
  <r>
    <s v="1066"/>
    <x v="7"/>
    <x v="61"/>
    <x v="8"/>
    <s v="Nancy Davolio"/>
    <s v="Exotic Liquids"/>
    <x v="1"/>
    <s v="Italy"/>
    <m/>
    <s v="Reggio Emilia"/>
    <n v="19"/>
    <n v="24"/>
  </r>
  <r>
    <s v="1066"/>
    <x v="7"/>
    <x v="70"/>
    <x v="35"/>
    <s v="Margaret Peacock"/>
    <s v="Gai pâturage"/>
    <x v="0"/>
    <s v="Italy"/>
    <m/>
    <s v="Reggio Emilia"/>
    <n v="27.2"/>
    <n v="21"/>
  </r>
  <r>
    <s v="1066"/>
    <x v="7"/>
    <x v="71"/>
    <x v="62"/>
    <s v="Janet Leverling"/>
    <s v="Plutzer Lebensmittelgroßmärkte AG"/>
    <x v="0"/>
    <s v="Italy"/>
    <m/>
    <s v="Reggio Emilia"/>
    <n v="26.6"/>
    <n v="30"/>
  </r>
  <r>
    <s v="1066"/>
    <x v="7"/>
    <x v="61"/>
    <x v="43"/>
    <s v="Nancy Davolio"/>
    <s v="Tokyo Traders"/>
    <x v="1"/>
    <s v="Italy"/>
    <m/>
    <s v="Reggio Emilia"/>
    <n v="31"/>
    <n v="1"/>
  </r>
  <r>
    <s v="1066"/>
    <x v="7"/>
    <x v="61"/>
    <x v="2"/>
    <s v="Nancy Davolio"/>
    <s v="Grandma Kelly's Homestead"/>
    <x v="1"/>
    <s v="Italy"/>
    <m/>
    <s v="Reggio Emilia"/>
    <n v="40"/>
    <n v="2"/>
  </r>
  <r>
    <s v="1066"/>
    <x v="7"/>
    <x v="61"/>
    <x v="36"/>
    <s v="Nancy Davolio"/>
    <s v="Grandma Kelly's Homestead"/>
    <x v="1"/>
    <s v="Italy"/>
    <m/>
    <s v="Reggio Emilia"/>
    <n v="30"/>
    <n v="1"/>
  </r>
  <r>
    <s v="1066"/>
    <x v="7"/>
    <x v="61"/>
    <x v="70"/>
    <s v="Nancy Davolio"/>
    <s v="Grandma Kelly's Homestead"/>
    <x v="1"/>
    <s v="Italy"/>
    <m/>
    <s v="Reggio Emilia"/>
    <n v="25"/>
    <n v="1"/>
  </r>
  <r>
    <s v="1066"/>
    <x v="7"/>
    <x v="45"/>
    <x v="15"/>
    <s v="Margaret Peacock"/>
    <s v="Pavlova, Ltd."/>
    <x v="0"/>
    <s v="Italy"/>
    <m/>
    <s v="Reggio Emilia"/>
    <n v="39"/>
    <n v="16"/>
  </r>
  <r>
    <s v="1066"/>
    <x v="7"/>
    <x v="74"/>
    <x v="52"/>
    <s v="Steven Buchanan"/>
    <s v="Heli Süßwaren GmbH &amp; Co. KG"/>
    <x v="1"/>
    <s v="Italy"/>
    <m/>
    <s v="Reggio Emilia"/>
    <n v="14"/>
    <n v="35"/>
  </r>
  <r>
    <s v="1066"/>
    <x v="7"/>
    <x v="74"/>
    <x v="27"/>
    <s v="Steven Buchanan"/>
    <s v="Plutzer Lebensmittelgroßmärkte AG"/>
    <x v="1"/>
    <s v="Italy"/>
    <m/>
    <s v="Reggio Emilia"/>
    <n v="7.75"/>
    <n v="18"/>
  </r>
  <r>
    <s v="1066"/>
    <x v="7"/>
    <x v="61"/>
    <x v="3"/>
    <s v="Nancy Davolio"/>
    <s v="New Orleans Cajun Delights"/>
    <x v="1"/>
    <s v="Italy"/>
    <m/>
    <s v="Reggio Emilia"/>
    <n v="22"/>
    <n v="1"/>
  </r>
  <r>
    <s v="1075"/>
    <x v="8"/>
    <x v="56"/>
    <x v="1"/>
    <s v="Andrew Fuller"/>
    <s v="Pavlova, Ltd."/>
    <x v="0"/>
    <s v="USA"/>
    <s v="WY"/>
    <s v="Lander"/>
    <n v="17.45"/>
    <n v="3"/>
  </r>
  <r>
    <s v="1075"/>
    <x v="8"/>
    <x v="75"/>
    <x v="12"/>
    <s v="Janet Leverling"/>
    <s v="Norske Meierier"/>
    <x v="1"/>
    <s v="USA"/>
    <s v="WY"/>
    <s v="Lander"/>
    <n v="36"/>
    <n v="10"/>
  </r>
  <r>
    <s v="1075"/>
    <x v="8"/>
    <x v="75"/>
    <x v="11"/>
    <s v="Janet Leverling"/>
    <s v="Pavlova, Ltd."/>
    <x v="1"/>
    <s v="USA"/>
    <s v="WY"/>
    <s v="Lander"/>
    <n v="62.5"/>
    <n v="6"/>
  </r>
  <r>
    <s v="1075"/>
    <x v="8"/>
    <x v="76"/>
    <x v="27"/>
    <s v="Michael Suyama"/>
    <s v="Plutzer Lebensmittelgroßmärkte AG"/>
    <x v="1"/>
    <s v="USA"/>
    <s v="WY"/>
    <s v="Lander"/>
    <n v="7.75"/>
    <n v="14"/>
  </r>
  <r>
    <s v="1075"/>
    <x v="8"/>
    <x v="77"/>
    <x v="56"/>
    <s v="Steven Buchanan"/>
    <s v="Las Cabras"/>
    <x v="1"/>
    <s v="USA"/>
    <s v="WY"/>
    <s v="Lander"/>
    <n v="21"/>
    <n v="10"/>
  </r>
  <r>
    <s v="1075"/>
    <x v="8"/>
    <x v="75"/>
    <x v="18"/>
    <s v="Janet Leverling"/>
    <s v="Aux joyeux ecclésiastiques"/>
    <x v="1"/>
    <s v="USA"/>
    <s v="WY"/>
    <s v="Lander"/>
    <n v="263.5"/>
    <n v="5"/>
  </r>
  <r>
    <s v="1043"/>
    <x v="9"/>
    <x v="78"/>
    <x v="50"/>
    <s v="Andrew Fuller"/>
    <s v="G'day, Mate"/>
    <x v="0"/>
    <s v="USA"/>
    <s v="WA"/>
    <s v="Walla Walla"/>
    <n v="7"/>
    <n v="5"/>
  </r>
  <r>
    <s v="1043"/>
    <x v="9"/>
    <x v="78"/>
    <x v="41"/>
    <s v="Andrew Fuller"/>
    <s v="Refrescos Americanas LTDA"/>
    <x v="0"/>
    <s v="USA"/>
    <s v="WA"/>
    <s v="Walla Walla"/>
    <n v="4.5"/>
    <n v="5"/>
  </r>
  <r>
    <s v="1043"/>
    <x v="9"/>
    <x v="79"/>
    <x v="16"/>
    <s v="Janet Leverling"/>
    <s v="Plutzer Lebensmittelgroßmärkte AG"/>
    <x v="0"/>
    <s v="USA"/>
    <s v="WA"/>
    <s v="Walla Walla"/>
    <n v="10.4"/>
    <n v="5"/>
  </r>
  <r>
    <s v="1043"/>
    <x v="9"/>
    <x v="79"/>
    <x v="55"/>
    <s v="Janet Leverling"/>
    <s v="PB Knäckebröd AB"/>
    <x v="0"/>
    <s v="USA"/>
    <s v="WA"/>
    <s v="Walla Walla"/>
    <n v="7.2"/>
    <n v="10"/>
  </r>
  <r>
    <s v="1043"/>
    <x v="9"/>
    <x v="79"/>
    <x v="57"/>
    <s v="Janet Leverling"/>
    <s v="New England Seafood Cannery"/>
    <x v="0"/>
    <s v="USA"/>
    <s v="WA"/>
    <s v="Walla Walla"/>
    <n v="7.7"/>
    <n v="20"/>
  </r>
  <r>
    <s v="1043"/>
    <x v="9"/>
    <x v="80"/>
    <x v="47"/>
    <s v="Andrew Fuller"/>
    <s v="Pavlova, Ltd."/>
    <x v="1"/>
    <s v="USA"/>
    <s v="WA"/>
    <s v="Walla Walla"/>
    <n v="15"/>
    <n v="5"/>
  </r>
  <r>
    <s v="1043"/>
    <x v="9"/>
    <x v="80"/>
    <x v="52"/>
    <s v="Andrew Fuller"/>
    <s v="Heli Süßwaren GmbH &amp; Co. KG"/>
    <x v="1"/>
    <s v="USA"/>
    <s v="WA"/>
    <s v="Walla Walla"/>
    <n v="14"/>
    <n v="5"/>
  </r>
  <r>
    <s v="1043"/>
    <x v="9"/>
    <x v="80"/>
    <x v="54"/>
    <s v="Andrew Fuller"/>
    <s v="Mayumi's"/>
    <x v="1"/>
    <s v="USA"/>
    <s v="WA"/>
    <s v="Walla Walla"/>
    <n v="6"/>
    <n v="7"/>
  </r>
  <r>
    <s v="1004"/>
    <x v="10"/>
    <x v="81"/>
    <x v="63"/>
    <s v="Margaret Peacock"/>
    <s v="Ma Maison"/>
    <x v="0"/>
    <s v="UK"/>
    <m/>
    <s v="London"/>
    <n v="24"/>
    <n v="21"/>
  </r>
  <r>
    <s v="1004"/>
    <x v="10"/>
    <x v="82"/>
    <x v="60"/>
    <s v="Anne Dodsworth"/>
    <s v="Formaggi Fortini s.r.l."/>
    <x v="1"/>
    <s v="UK"/>
    <m/>
    <s v="London"/>
    <n v="12.5"/>
    <n v="15"/>
  </r>
  <r>
    <s v="1004"/>
    <x v="10"/>
    <x v="83"/>
    <x v="8"/>
    <s v="Margaret Peacock"/>
    <s v="Exotic Liquids"/>
    <x v="0"/>
    <s v="UK"/>
    <m/>
    <s v="London"/>
    <n v="19"/>
    <n v="15"/>
  </r>
  <r>
    <s v="1004"/>
    <x v="10"/>
    <x v="84"/>
    <x v="47"/>
    <s v="Nancy Davolio"/>
    <s v="Pavlova, Ltd."/>
    <x v="0"/>
    <s v="UK"/>
    <m/>
    <s v="London"/>
    <n v="12"/>
    <n v="25"/>
  </r>
  <r>
    <s v="1004"/>
    <x v="10"/>
    <x v="84"/>
    <x v="42"/>
    <s v="Nancy Davolio"/>
    <s v="Zaanse Snoepfabriek"/>
    <x v="0"/>
    <s v="UK"/>
    <m/>
    <s v="London"/>
    <n v="10.199999999999999"/>
    <n v="15"/>
  </r>
  <r>
    <s v="1004"/>
    <x v="10"/>
    <x v="82"/>
    <x v="19"/>
    <s v="Anne Dodsworth"/>
    <s v="Svensk Sjöföda AB"/>
    <x v="1"/>
    <s v="UK"/>
    <m/>
    <s v="London"/>
    <n v="19"/>
    <n v="16"/>
  </r>
  <r>
    <s v="1004"/>
    <x v="10"/>
    <x v="85"/>
    <x v="34"/>
    <s v="Nancy Davolio"/>
    <s v="G'day, Mate"/>
    <x v="0"/>
    <s v="UK"/>
    <m/>
    <s v="London"/>
    <n v="53"/>
    <n v="20"/>
  </r>
  <r>
    <s v="1004"/>
    <x v="10"/>
    <x v="86"/>
    <x v="13"/>
    <s v="Margaret Peacock"/>
    <s v="Bigfoot Breweries"/>
    <x v="1"/>
    <s v="UK"/>
    <m/>
    <s v="London"/>
    <n v="18"/>
    <n v="4"/>
  </r>
  <r>
    <s v="1004"/>
    <x v="10"/>
    <x v="87"/>
    <x v="26"/>
    <s v="Nancy Davolio"/>
    <s v="Lyngbysild"/>
    <x v="0"/>
    <s v="UK"/>
    <m/>
    <s v="London"/>
    <n v="12"/>
    <n v="28"/>
  </r>
  <r>
    <s v="1004"/>
    <x v="10"/>
    <x v="16"/>
    <x v="41"/>
    <s v="Michael Suyama"/>
    <s v="Refrescos Americanas LTDA"/>
    <x v="0"/>
    <s v="UK"/>
    <m/>
    <s v="London"/>
    <n v="3.6"/>
    <n v="25"/>
  </r>
  <r>
    <s v="1004"/>
    <x v="10"/>
    <x v="16"/>
    <x v="53"/>
    <s v="Michael Suyama"/>
    <s v="Pasta Buttini s.r.l."/>
    <x v="0"/>
    <s v="UK"/>
    <m/>
    <s v="London"/>
    <n v="15.6"/>
    <n v="25"/>
  </r>
  <r>
    <s v="1004"/>
    <x v="10"/>
    <x v="88"/>
    <x v="22"/>
    <s v="Laura Callahan"/>
    <s v="Pasta Buttini s.r.l."/>
    <x v="0"/>
    <s v="UK"/>
    <m/>
    <s v="London"/>
    <n v="30.4"/>
    <n v="20"/>
  </r>
  <r>
    <s v="1004"/>
    <x v="10"/>
    <x v="88"/>
    <x v="71"/>
    <s v="Laura Callahan"/>
    <s v="Karkki Oy"/>
    <x v="0"/>
    <s v="UK"/>
    <m/>
    <s v="London"/>
    <n v="13"/>
    <n v="15"/>
  </r>
  <r>
    <s v="1004"/>
    <x v="10"/>
    <x v="88"/>
    <x v="54"/>
    <s v="Laura Callahan"/>
    <s v="Mayumi's"/>
    <x v="0"/>
    <s v="UK"/>
    <m/>
    <s v="London"/>
    <n v="4.8"/>
    <n v="20"/>
  </r>
  <r>
    <s v="1004"/>
    <x v="10"/>
    <x v="89"/>
    <x v="60"/>
    <s v="Anne Dodsworth"/>
    <s v="Formaggi Fortini s.r.l."/>
    <x v="1"/>
    <s v="UK"/>
    <m/>
    <s v="London"/>
    <n v="12.5"/>
    <n v="50"/>
  </r>
  <r>
    <s v="1004"/>
    <x v="10"/>
    <x v="89"/>
    <x v="59"/>
    <s v="Anne Dodsworth"/>
    <s v="Specialty Biscuits, Ltd."/>
    <x v="1"/>
    <s v="UK"/>
    <m/>
    <s v="London"/>
    <n v="81"/>
    <n v="50"/>
  </r>
  <r>
    <s v="1004"/>
    <x v="10"/>
    <x v="85"/>
    <x v="72"/>
    <s v="Nancy Davolio"/>
    <s v="Zaanse Snoepfabriek"/>
    <x v="0"/>
    <s v="UK"/>
    <m/>
    <s v="London"/>
    <n v="9.5"/>
    <n v="25"/>
  </r>
  <r>
    <s v="1004"/>
    <x v="10"/>
    <x v="90"/>
    <x v="51"/>
    <s v="Janet Leverling"/>
    <s v="Norske Meierier"/>
    <x v="1"/>
    <s v="UK"/>
    <m/>
    <s v="London"/>
    <n v="21.5"/>
    <n v="12"/>
  </r>
  <r>
    <s v="1004"/>
    <x v="10"/>
    <x v="85"/>
    <x v="6"/>
    <s v="Nancy Davolio"/>
    <s v="G'day, Mate"/>
    <x v="0"/>
    <s v="UK"/>
    <m/>
    <s v="London"/>
    <n v="32.799999999999997"/>
    <n v="18"/>
  </r>
  <r>
    <s v="1004"/>
    <x v="10"/>
    <x v="90"/>
    <x v="60"/>
    <s v="Janet Leverling"/>
    <s v="Formaggi Fortini s.r.l."/>
    <x v="1"/>
    <s v="UK"/>
    <m/>
    <s v="London"/>
    <n v="12.5"/>
    <n v="50"/>
  </r>
  <r>
    <s v="1004"/>
    <x v="10"/>
    <x v="81"/>
    <x v="53"/>
    <s v="Margaret Peacock"/>
    <s v="Pasta Buttini s.r.l."/>
    <x v="0"/>
    <s v="UK"/>
    <m/>
    <s v="London"/>
    <n v="19.5"/>
    <n v="40"/>
  </r>
  <r>
    <s v="1004"/>
    <x v="10"/>
    <x v="90"/>
    <x v="48"/>
    <s v="Janet Leverling"/>
    <s v="PB Knäckebröd AB"/>
    <x v="1"/>
    <s v="UK"/>
    <m/>
    <s v="London"/>
    <n v="21"/>
    <n v="4"/>
  </r>
  <r>
    <s v="1004"/>
    <x v="10"/>
    <x v="85"/>
    <x v="50"/>
    <s v="Nancy Davolio"/>
    <s v="G'day, Mate"/>
    <x v="0"/>
    <s v="UK"/>
    <m/>
    <s v="London"/>
    <n v="7"/>
    <n v="30"/>
  </r>
  <r>
    <s v="1004"/>
    <x v="10"/>
    <x v="85"/>
    <x v="24"/>
    <s v="Nancy Davolio"/>
    <s v="Svensk Sjöföda AB"/>
    <x v="0"/>
    <s v="UK"/>
    <m/>
    <s v="London"/>
    <n v="15"/>
    <n v="3"/>
  </r>
  <r>
    <s v="1004"/>
    <x v="10"/>
    <x v="86"/>
    <x v="73"/>
    <s v="Margaret Peacock"/>
    <s v="Bigfoot Breweries"/>
    <x v="1"/>
    <s v="UK"/>
    <m/>
    <s v="London"/>
    <n v="14"/>
    <n v="15"/>
  </r>
  <r>
    <s v="1004"/>
    <x v="10"/>
    <x v="91"/>
    <x v="57"/>
    <s v="Janet Leverling"/>
    <s v="New England Seafood Cannery"/>
    <x v="1"/>
    <s v="UK"/>
    <m/>
    <s v="London"/>
    <n v="9.65"/>
    <n v="14"/>
  </r>
  <r>
    <s v="1004"/>
    <x v="10"/>
    <x v="91"/>
    <x v="50"/>
    <s v="Janet Leverling"/>
    <s v="G'day, Mate"/>
    <x v="1"/>
    <s v="UK"/>
    <m/>
    <s v="London"/>
    <n v="7"/>
    <n v="8"/>
  </r>
  <r>
    <s v="1004"/>
    <x v="10"/>
    <x v="92"/>
    <x v="71"/>
    <s v="Margaret Peacock"/>
    <s v="Karkki Oy"/>
    <x v="1"/>
    <s v="UK"/>
    <m/>
    <s v="London"/>
    <n v="16.25"/>
    <n v="24"/>
  </r>
  <r>
    <s v="1004"/>
    <x v="10"/>
    <x v="81"/>
    <x v="47"/>
    <s v="Margaret Peacock"/>
    <s v="Pavlova, Ltd."/>
    <x v="0"/>
    <s v="UK"/>
    <m/>
    <s v="London"/>
    <n v="15"/>
    <n v="28"/>
  </r>
  <r>
    <s v="1004"/>
    <x v="10"/>
    <x v="90"/>
    <x v="35"/>
    <s v="Janet Leverling"/>
    <s v="Gai pâturage"/>
    <x v="1"/>
    <s v="UK"/>
    <m/>
    <s v="London"/>
    <n v="34"/>
    <n v="15"/>
  </r>
  <r>
    <s v="1016"/>
    <x v="11"/>
    <x v="93"/>
    <x v="64"/>
    <s v="Robert King"/>
    <s v="New Orleans Cajun Delights"/>
    <x v="1"/>
    <s v="UK"/>
    <m/>
    <s v="London"/>
    <n v="21.35"/>
    <n v="30"/>
  </r>
  <r>
    <s v="1016"/>
    <x v="11"/>
    <x v="93"/>
    <x v="14"/>
    <s v="Robert King"/>
    <s v="Tokyo Traders"/>
    <x v="1"/>
    <s v="UK"/>
    <m/>
    <s v="London"/>
    <n v="97"/>
    <n v="3"/>
  </r>
  <r>
    <s v="1016"/>
    <x v="11"/>
    <x v="94"/>
    <x v="55"/>
    <s v="Andrew Fuller"/>
    <s v="PB Knäckebröd AB"/>
    <x v="0"/>
    <s v="UK"/>
    <m/>
    <s v="London"/>
    <n v="7.2"/>
    <n v="21"/>
  </r>
  <r>
    <s v="1016"/>
    <x v="11"/>
    <x v="94"/>
    <x v="54"/>
    <s v="Andrew Fuller"/>
    <s v="Mayumi's"/>
    <x v="0"/>
    <s v="UK"/>
    <m/>
    <s v="London"/>
    <n v="4.8"/>
    <n v="1"/>
  </r>
  <r>
    <s v="1016"/>
    <x v="11"/>
    <x v="95"/>
    <x v="48"/>
    <s v="Laura Callahan"/>
    <s v="PB Knäckebröd AB"/>
    <x v="0"/>
    <s v="UK"/>
    <m/>
    <s v="London"/>
    <n v="16.8"/>
    <n v="12"/>
  </r>
  <r>
    <s v="1016"/>
    <x v="11"/>
    <x v="95"/>
    <x v="30"/>
    <s v="Laura Callahan"/>
    <s v="Formaggi Fortini s.r.l."/>
    <x v="0"/>
    <s v="UK"/>
    <m/>
    <s v="London"/>
    <n v="27.8"/>
    <n v="10"/>
  </r>
  <r>
    <s v="1016"/>
    <x v="11"/>
    <x v="95"/>
    <x v="8"/>
    <s v="Laura Callahan"/>
    <s v="Exotic Liquids"/>
    <x v="0"/>
    <s v="UK"/>
    <m/>
    <s v="London"/>
    <n v="15.2"/>
    <n v="10"/>
  </r>
  <r>
    <s v="1047"/>
    <x v="12"/>
    <x v="96"/>
    <x v="17"/>
    <s v="Steven Buchanan"/>
    <s v="Gai pâturage"/>
    <x v="1"/>
    <s v="Venezuela"/>
    <s v="Nueva Esparta"/>
    <s v="I. de Margarita"/>
    <n v="55"/>
    <n v="40"/>
  </r>
  <r>
    <s v="1047"/>
    <x v="12"/>
    <x v="96"/>
    <x v="16"/>
    <s v="Steven Buchanan"/>
    <s v="Plutzer Lebensmittelgroßmärkte AG"/>
    <x v="1"/>
    <s v="Venezuela"/>
    <s v="Nueva Esparta"/>
    <s v="I. de Margarita"/>
    <n v="13"/>
    <n v="15"/>
  </r>
  <r>
    <s v="1047"/>
    <x v="12"/>
    <x v="97"/>
    <x v="5"/>
    <s v="Nancy Davolio"/>
    <s v="Heli Süßwaren GmbH &amp; Co. KG"/>
    <x v="0"/>
    <s v="Venezuela"/>
    <s v="Nueva Esparta"/>
    <s v="I. de Margarita"/>
    <n v="24.9"/>
    <n v="16"/>
  </r>
  <r>
    <s v="1047"/>
    <x v="12"/>
    <x v="97"/>
    <x v="35"/>
    <s v="Nancy Davolio"/>
    <s v="Gai pâturage"/>
    <x v="0"/>
    <s v="Venezuela"/>
    <s v="Nueva Esparta"/>
    <s v="I. de Margarita"/>
    <n v="27.2"/>
    <n v="8"/>
  </r>
  <r>
    <s v="1047"/>
    <x v="12"/>
    <x v="98"/>
    <x v="7"/>
    <s v="Nancy Davolio"/>
    <s v="Specialty Biscuits, Ltd."/>
    <x v="0"/>
    <s v="Venezuela"/>
    <s v="Nueva Esparta"/>
    <s v="I. de Margarita"/>
    <n v="8"/>
    <n v="40"/>
  </r>
  <r>
    <s v="1047"/>
    <x v="12"/>
    <x v="98"/>
    <x v="63"/>
    <s v="Nancy Davolio"/>
    <s v="Ma Maison"/>
    <x v="0"/>
    <s v="Venezuela"/>
    <s v="Nueva Esparta"/>
    <s v="I. de Margarita"/>
    <n v="19.2"/>
    <n v="60"/>
  </r>
  <r>
    <s v="1047"/>
    <x v="12"/>
    <x v="99"/>
    <x v="44"/>
    <s v="Steven Buchanan"/>
    <s v="Aux joyeux ecclésiastiques"/>
    <x v="1"/>
    <s v="Venezuela"/>
    <s v="Nueva Esparta"/>
    <s v="I. de Margarita"/>
    <n v="18"/>
    <n v="8"/>
  </r>
  <r>
    <s v="1047"/>
    <x v="12"/>
    <x v="100"/>
    <x v="50"/>
    <s v="Laura Callahan"/>
    <s v="G'day, Mate"/>
    <x v="1"/>
    <s v="Venezuela"/>
    <s v="Nueva Esparta"/>
    <s v="I. de Margarita"/>
    <n v="7"/>
    <n v="20"/>
  </r>
  <r>
    <s v="1047"/>
    <x v="12"/>
    <x v="101"/>
    <x v="54"/>
    <s v="Nancy Davolio"/>
    <s v="Mayumi's"/>
    <x v="1"/>
    <s v="Venezuela"/>
    <s v="Nueva Esparta"/>
    <s v="I. de Margarita"/>
    <n v="6"/>
    <n v="10"/>
  </r>
  <r>
    <s v="1047"/>
    <x v="12"/>
    <x v="100"/>
    <x v="61"/>
    <s v="Laura Callahan"/>
    <s v="Formaggi Fortini s.r.l."/>
    <x v="1"/>
    <s v="Venezuela"/>
    <s v="Nueva Esparta"/>
    <s v="I. de Margarita"/>
    <n v="32"/>
    <n v="50"/>
  </r>
  <r>
    <s v="1047"/>
    <x v="12"/>
    <x v="102"/>
    <x v="55"/>
    <s v="Laura Callahan"/>
    <s v="PB Knäckebröd AB"/>
    <x v="0"/>
    <s v="Venezuela"/>
    <s v="Nueva Esparta"/>
    <s v="I. de Margarita"/>
    <n v="9"/>
    <n v="70"/>
  </r>
  <r>
    <s v="1047"/>
    <x v="12"/>
    <x v="103"/>
    <x v="31"/>
    <s v="Margaret Peacock"/>
    <s v="Plutzer Lebensmittelgroßmärkte AG"/>
    <x v="0"/>
    <s v="Venezuela"/>
    <s v="Nueva Esparta"/>
    <s v="I. de Margarita"/>
    <n v="45.6"/>
    <n v="20"/>
  </r>
  <r>
    <s v="1047"/>
    <x v="12"/>
    <x v="98"/>
    <x v="33"/>
    <s v="Nancy Davolio"/>
    <s v="Nord-Ost-Fisch Handelsgesellschaft mbH"/>
    <x v="0"/>
    <s v="Venezuela"/>
    <s v="Nueva Esparta"/>
    <s v="I. de Margarita"/>
    <n v="20.7"/>
    <n v="28"/>
  </r>
  <r>
    <s v="1047"/>
    <x v="12"/>
    <x v="103"/>
    <x v="49"/>
    <s v="Margaret Peacock"/>
    <s v="Karkki Oy"/>
    <x v="0"/>
    <s v="Venezuela"/>
    <s v="Nueva Esparta"/>
    <s v="I. de Margarita"/>
    <n v="20"/>
    <n v="25"/>
  </r>
  <r>
    <s v="1047"/>
    <x v="12"/>
    <x v="104"/>
    <x v="16"/>
    <s v="Andrew Fuller"/>
    <s v="Plutzer Lebensmittelgroßmärkte AG"/>
    <x v="1"/>
    <s v="Venezuela"/>
    <s v="Nueva Esparta"/>
    <s v="I. de Margarita"/>
    <n v="13"/>
    <n v="15"/>
  </r>
  <r>
    <s v="1047"/>
    <x v="12"/>
    <x v="9"/>
    <x v="33"/>
    <s v="Laura Callahan"/>
    <s v="Nord-Ost-Fisch Handelsgesellschaft mbH"/>
    <x v="1"/>
    <s v="Venezuela"/>
    <s v="Nueva Esparta"/>
    <s v="I. de Margarita"/>
    <n v="25.89"/>
    <n v="4"/>
  </r>
  <r>
    <s v="1047"/>
    <x v="12"/>
    <x v="9"/>
    <x v="0"/>
    <s v="Laura Callahan"/>
    <s v="Ma Maison"/>
    <x v="1"/>
    <s v="Venezuela"/>
    <s v="Nueva Esparta"/>
    <s v="I. de Margarita"/>
    <n v="7.45"/>
    <n v="20"/>
  </r>
  <r>
    <s v="1047"/>
    <x v="12"/>
    <x v="104"/>
    <x v="47"/>
    <s v="Andrew Fuller"/>
    <s v="Pavlova, Ltd."/>
    <x v="1"/>
    <s v="Venezuela"/>
    <s v="Nueva Esparta"/>
    <s v="I. de Margarita"/>
    <n v="15"/>
    <n v="35"/>
  </r>
  <r>
    <s v="1047"/>
    <x v="12"/>
    <x v="102"/>
    <x v="69"/>
    <s v="Laura Callahan"/>
    <s v="Las Cabras"/>
    <x v="0"/>
    <s v="Venezuela"/>
    <s v="Nueva Esparta"/>
    <s v="I. de Margarita"/>
    <n v="38"/>
    <n v="30"/>
  </r>
  <r>
    <s v="1047"/>
    <x v="12"/>
    <x v="100"/>
    <x v="26"/>
    <s v="Laura Callahan"/>
    <s v="Lyngbysild"/>
    <x v="1"/>
    <s v="Venezuela"/>
    <s v="Nueva Esparta"/>
    <s v="I. de Margarita"/>
    <n v="12"/>
    <n v="20"/>
  </r>
  <r>
    <s v="1047"/>
    <x v="12"/>
    <x v="47"/>
    <x v="74"/>
    <s v="Janet Leverling"/>
    <s v="Tokyo Traders"/>
    <x v="0"/>
    <s v="Venezuela"/>
    <s v="Nueva Esparta"/>
    <s v="I. de Margarita"/>
    <n v="8"/>
    <n v="14"/>
  </r>
  <r>
    <s v="1047"/>
    <x v="12"/>
    <x v="105"/>
    <x v="12"/>
    <s v="Michael Suyama"/>
    <s v="Norske Meierier"/>
    <x v="0"/>
    <s v="Venezuela"/>
    <s v="Nueva Esparta"/>
    <s v="I. de Margarita"/>
    <n v="28.8"/>
    <n v="15"/>
  </r>
  <r>
    <s v="1047"/>
    <x v="12"/>
    <x v="105"/>
    <x v="1"/>
    <s v="Michael Suyama"/>
    <s v="Pavlova, Ltd."/>
    <x v="0"/>
    <s v="Venezuela"/>
    <s v="Nueva Esparta"/>
    <s v="I. de Margarita"/>
    <n v="13.9"/>
    <n v="30"/>
  </r>
  <r>
    <s v="1047"/>
    <x v="12"/>
    <x v="105"/>
    <x v="56"/>
    <s v="Michael Suyama"/>
    <s v="Las Cabras"/>
    <x v="0"/>
    <s v="Venezuela"/>
    <s v="Nueva Esparta"/>
    <s v="I. de Margarita"/>
    <n v="16.8"/>
    <n v="12"/>
  </r>
  <r>
    <s v="1047"/>
    <x v="12"/>
    <x v="96"/>
    <x v="53"/>
    <s v="Steven Buchanan"/>
    <s v="Pasta Buttini s.r.l."/>
    <x v="1"/>
    <s v="Venezuela"/>
    <s v="Nueva Esparta"/>
    <s v="I. de Margarita"/>
    <n v="19.5"/>
    <n v="15"/>
  </r>
  <r>
    <s v="1047"/>
    <x v="12"/>
    <x v="106"/>
    <x v="5"/>
    <s v="Janet Leverling"/>
    <s v="Heli Süßwaren GmbH &amp; Co. KG"/>
    <x v="0"/>
    <s v="Venezuela"/>
    <s v="Nueva Esparta"/>
    <s v="I. de Margarita"/>
    <n v="24.9"/>
    <n v="50"/>
  </r>
  <r>
    <s v="1047"/>
    <x v="12"/>
    <x v="101"/>
    <x v="36"/>
    <s v="Nancy Davolio"/>
    <s v="Grandma Kelly's Homestead"/>
    <x v="1"/>
    <s v="Venezuela"/>
    <s v="Nueva Esparta"/>
    <s v="I. de Margarita"/>
    <n v="30"/>
    <n v="15"/>
  </r>
  <r>
    <s v="1047"/>
    <x v="12"/>
    <x v="106"/>
    <x v="30"/>
    <s v="Janet Leverling"/>
    <s v="Formaggi Fortini s.r.l."/>
    <x v="0"/>
    <s v="Venezuela"/>
    <s v="Nueva Esparta"/>
    <s v="I. de Margarita"/>
    <n v="27.8"/>
    <n v="25"/>
  </r>
  <r>
    <s v="1047"/>
    <x v="12"/>
    <x v="107"/>
    <x v="75"/>
    <s v="Janet Leverling"/>
    <s v="Mayumi's"/>
    <x v="0"/>
    <s v="Venezuela"/>
    <s v="Nueva Esparta"/>
    <s v="I. de Margarita"/>
    <n v="12.4"/>
    <n v="20"/>
  </r>
  <r>
    <s v="1047"/>
    <x v="12"/>
    <x v="107"/>
    <x v="23"/>
    <s v="Janet Leverling"/>
    <s v="Specialty Biscuits, Ltd."/>
    <x v="0"/>
    <s v="Venezuela"/>
    <s v="Nueva Esparta"/>
    <s v="I. de Margarita"/>
    <n v="7.3"/>
    <n v="18"/>
  </r>
  <r>
    <s v="1047"/>
    <x v="12"/>
    <x v="97"/>
    <x v="43"/>
    <s v="Nancy Davolio"/>
    <s v="Tokyo Traders"/>
    <x v="0"/>
    <s v="Venezuela"/>
    <s v="Nueva Esparta"/>
    <s v="I. de Margarita"/>
    <n v="24.8"/>
    <n v="30"/>
  </r>
  <r>
    <s v="1047"/>
    <x v="12"/>
    <x v="107"/>
    <x v="35"/>
    <s v="Janet Leverling"/>
    <s v="Gai pâturage"/>
    <x v="0"/>
    <s v="Venezuela"/>
    <s v="Nueva Esparta"/>
    <s v="I. de Margarita"/>
    <n v="27.2"/>
    <n v="35"/>
  </r>
  <r>
    <s v="1047"/>
    <x v="12"/>
    <x v="107"/>
    <x v="30"/>
    <s v="Janet Leverling"/>
    <s v="Formaggi Fortini s.r.l."/>
    <x v="0"/>
    <s v="Venezuela"/>
    <s v="Nueva Esparta"/>
    <s v="I. de Margarita"/>
    <n v="27.8"/>
    <n v="3"/>
  </r>
  <r>
    <s v="1047"/>
    <x v="12"/>
    <x v="96"/>
    <x v="56"/>
    <s v="Steven Buchanan"/>
    <s v="Las Cabras"/>
    <x v="1"/>
    <s v="Venezuela"/>
    <s v="Nueva Esparta"/>
    <s v="I. de Margarita"/>
    <n v="21"/>
    <n v="20"/>
  </r>
  <r>
    <s v="1091"/>
    <x v="13"/>
    <x v="48"/>
    <x v="13"/>
    <s v="Steven Buchanan"/>
    <s v="Bigfoot Breweries"/>
    <x v="1"/>
    <s v="Poland"/>
    <m/>
    <s v="Warszawa"/>
    <n v="18"/>
    <n v="3"/>
  </r>
  <r>
    <s v="1091"/>
    <x v="13"/>
    <x v="108"/>
    <x v="38"/>
    <s v="Andrew Fuller"/>
    <s v="Leka Trading"/>
    <x v="0"/>
    <s v="Poland"/>
    <m/>
    <s v="Warszawa"/>
    <n v="46"/>
    <n v="6"/>
  </r>
  <r>
    <s v="1091"/>
    <x v="13"/>
    <x v="108"/>
    <x v="45"/>
    <s v="Andrew Fuller"/>
    <s v="Leka Trading"/>
    <x v="0"/>
    <s v="Poland"/>
    <m/>
    <s v="Warszawa"/>
    <n v="14"/>
    <n v="6"/>
  </r>
  <r>
    <s v="1091"/>
    <x v="13"/>
    <x v="109"/>
    <x v="4"/>
    <s v="Nancy Davolio"/>
    <s v="Forêts d'érables"/>
    <x v="1"/>
    <s v="Poland"/>
    <m/>
    <s v="Warszawa"/>
    <n v="28.5"/>
    <n v="5"/>
  </r>
  <r>
    <s v="1091"/>
    <x v="13"/>
    <x v="110"/>
    <x v="46"/>
    <s v="Michael Suyama"/>
    <s v="Exotic Liquids"/>
    <x v="0"/>
    <s v="Poland"/>
    <m/>
    <s v="Warszawa"/>
    <n v="18"/>
    <n v="6"/>
  </r>
  <r>
    <s v="1091"/>
    <x v="13"/>
    <x v="109"/>
    <x v="49"/>
    <s v="Nancy Davolio"/>
    <s v="Karkki Oy"/>
    <x v="1"/>
    <s v="Poland"/>
    <m/>
    <s v="Warszawa"/>
    <n v="20"/>
    <n v="10"/>
  </r>
  <r>
    <s v="1091"/>
    <x v="13"/>
    <x v="48"/>
    <x v="34"/>
    <s v="Steven Buchanan"/>
    <s v="G'day, Mate"/>
    <x v="1"/>
    <s v="Poland"/>
    <m/>
    <s v="Warszawa"/>
    <n v="53"/>
    <n v="2"/>
  </r>
  <r>
    <s v="1091"/>
    <x v="13"/>
    <x v="109"/>
    <x v="23"/>
    <s v="Nancy Davolio"/>
    <s v="Specialty Biscuits, Ltd."/>
    <x v="1"/>
    <s v="Poland"/>
    <m/>
    <s v="Warszawa"/>
    <n v="9.1999999999999993"/>
    <n v="12"/>
  </r>
  <r>
    <s v="1091"/>
    <x v="13"/>
    <x v="111"/>
    <x v="8"/>
    <s v="Nancy Davolio"/>
    <s v="Exotic Liquids"/>
    <x v="1"/>
    <s v="Poland"/>
    <m/>
    <s v="Warszawa"/>
    <n v="19"/>
    <n v="10"/>
  </r>
  <r>
    <s v="1091"/>
    <x v="13"/>
    <x v="111"/>
    <x v="0"/>
    <s v="Nancy Davolio"/>
    <s v="Ma Maison"/>
    <x v="1"/>
    <s v="Poland"/>
    <m/>
    <s v="Warszawa"/>
    <n v="7.45"/>
    <n v="3"/>
  </r>
  <r>
    <s v="1091"/>
    <x v="13"/>
    <x v="112"/>
    <x v="60"/>
    <s v="Nancy Davolio"/>
    <s v="Formaggi Fortini s.r.l."/>
    <x v="0"/>
    <s v="Poland"/>
    <m/>
    <s v="Warszawa"/>
    <n v="10"/>
    <n v="30"/>
  </r>
  <r>
    <s v="1091"/>
    <x v="13"/>
    <x v="111"/>
    <x v="32"/>
    <s v="Nancy Davolio"/>
    <s v="Specialty Biscuits, Ltd."/>
    <x v="1"/>
    <s v="Poland"/>
    <m/>
    <s v="Warszawa"/>
    <n v="12.5"/>
    <n v="15"/>
  </r>
  <r>
    <s v="1091"/>
    <x v="13"/>
    <x v="108"/>
    <x v="1"/>
    <s v="Andrew Fuller"/>
    <s v="Pavlova, Ltd."/>
    <x v="0"/>
    <s v="Poland"/>
    <m/>
    <s v="Warszawa"/>
    <n v="17.45"/>
    <n v="3"/>
  </r>
  <r>
    <s v="1091"/>
    <x v="13"/>
    <x v="113"/>
    <x v="9"/>
    <s v="Margaret Peacock"/>
    <s v="Forêts d'érables"/>
    <x v="1"/>
    <s v="Poland"/>
    <m/>
    <s v="Warszawa"/>
    <n v="49.3"/>
    <n v="12"/>
  </r>
  <r>
    <s v="1091"/>
    <x v="13"/>
    <x v="110"/>
    <x v="35"/>
    <s v="Michael Suyama"/>
    <s v="Gai pâturage"/>
    <x v="0"/>
    <s v="Poland"/>
    <m/>
    <s v="Warszawa"/>
    <n v="34"/>
    <n v="15"/>
  </r>
  <r>
    <s v="1091"/>
    <x v="13"/>
    <x v="114"/>
    <x v="63"/>
    <s v="Andrew Fuller"/>
    <s v="Ma Maison"/>
    <x v="0"/>
    <s v="Poland"/>
    <m/>
    <s v="Warszawa"/>
    <n v="24"/>
    <n v="5"/>
  </r>
  <r>
    <s v="1091"/>
    <x v="13"/>
    <x v="115"/>
    <x v="39"/>
    <s v="Janet Leverling"/>
    <s v="New Orleans Cajun Delights"/>
    <x v="1"/>
    <s v="Poland"/>
    <m/>
    <s v="Warszawa"/>
    <n v="21.05"/>
    <n v="10"/>
  </r>
  <r>
    <s v="1091"/>
    <x v="13"/>
    <x v="115"/>
    <x v="40"/>
    <s v="Janet Leverling"/>
    <s v="Karkki Oy"/>
    <x v="1"/>
    <s v="Poland"/>
    <m/>
    <s v="Warszawa"/>
    <n v="18"/>
    <n v="10"/>
  </r>
  <r>
    <s v="1091"/>
    <x v="13"/>
    <x v="116"/>
    <x v="17"/>
    <s v="Andrew Fuller"/>
    <s v="Gai pâturage"/>
    <x v="1"/>
    <s v="Poland"/>
    <m/>
    <s v="Warszawa"/>
    <n v="55"/>
    <n v="10"/>
  </r>
  <r>
    <s v="1091"/>
    <x v="13"/>
    <x v="115"/>
    <x v="76"/>
    <s v="Janet Leverling"/>
    <s v="New England Seafood Cannery"/>
    <x v="1"/>
    <s v="Poland"/>
    <m/>
    <s v="Warszawa"/>
    <n v="18.399999999999999"/>
    <n v="12"/>
  </r>
  <r>
    <s v="1091"/>
    <x v="13"/>
    <x v="112"/>
    <x v="25"/>
    <s v="Nancy Davolio"/>
    <s v="Escargots Nouveaux"/>
    <x v="0"/>
    <s v="Poland"/>
    <m/>
    <s v="Warszawa"/>
    <n v="10.6"/>
    <n v="15"/>
  </r>
  <r>
    <s v="1091"/>
    <x v="13"/>
    <x v="117"/>
    <x v="41"/>
    <s v="Robert King"/>
    <s v="Refrescos Americanas LTDA"/>
    <x v="0"/>
    <s v="Poland"/>
    <m/>
    <s v="Warszawa"/>
    <n v="4.5"/>
    <n v="20"/>
  </r>
  <r>
    <s v="1091"/>
    <x v="13"/>
    <x v="117"/>
    <x v="69"/>
    <s v="Robert King"/>
    <s v="Las Cabras"/>
    <x v="0"/>
    <s v="Poland"/>
    <m/>
    <s v="Warszawa"/>
    <n v="38"/>
    <n v="4"/>
  </r>
  <r>
    <s v="1091"/>
    <x v="13"/>
    <x v="117"/>
    <x v="2"/>
    <s v="Robert King"/>
    <s v="Grandma Kelly's Homestead"/>
    <x v="0"/>
    <s v="Poland"/>
    <m/>
    <s v="Warszawa"/>
    <n v="40"/>
    <n v="10"/>
  </r>
  <r>
    <s v="1091"/>
    <x v="13"/>
    <x v="118"/>
    <x v="7"/>
    <s v="Margaret Peacock"/>
    <s v="Specialty Biscuits, Ltd."/>
    <x v="1"/>
    <s v="Poland"/>
    <m/>
    <s v="Warszawa"/>
    <n v="10"/>
    <n v="20"/>
  </r>
  <r>
    <s v="1091"/>
    <x v="13"/>
    <x v="116"/>
    <x v="46"/>
    <s v="Andrew Fuller"/>
    <s v="Exotic Liquids"/>
    <x v="1"/>
    <s v="Poland"/>
    <m/>
    <s v="Warszawa"/>
    <n v="18"/>
    <n v="2"/>
  </r>
  <r>
    <s v="1091"/>
    <x v="13"/>
    <x v="118"/>
    <x v="31"/>
    <s v="Margaret Peacock"/>
    <s v="Plutzer Lebensmittelgroßmärkte AG"/>
    <x v="1"/>
    <s v="Poland"/>
    <m/>
    <s v="Warszawa"/>
    <n v="45.6"/>
    <n v="3"/>
  </r>
  <r>
    <s v="1091"/>
    <x v="13"/>
    <x v="110"/>
    <x v="8"/>
    <s v="Michael Suyama"/>
    <s v="Exotic Liquids"/>
    <x v="0"/>
    <s v="Poland"/>
    <m/>
    <s v="Warszawa"/>
    <n v="19"/>
    <n v="10"/>
  </r>
  <r>
    <s v="1091"/>
    <x v="13"/>
    <x v="100"/>
    <x v="41"/>
    <s v="Laura Callahan"/>
    <s v="Refrescos Americanas LTDA"/>
    <x v="1"/>
    <s v="Poland"/>
    <m/>
    <s v="Warszawa"/>
    <n v="4.5"/>
    <n v="12"/>
  </r>
  <r>
    <s v="1091"/>
    <x v="13"/>
    <x v="100"/>
    <x v="4"/>
    <s v="Laura Callahan"/>
    <s v="Forêts d'érables"/>
    <x v="1"/>
    <s v="Poland"/>
    <m/>
    <s v="Warszawa"/>
    <n v="28.5"/>
    <n v="7"/>
  </r>
  <r>
    <s v="1091"/>
    <x v="13"/>
    <x v="100"/>
    <x v="74"/>
    <s v="Laura Callahan"/>
    <s v="Tokyo Traders"/>
    <x v="1"/>
    <s v="Poland"/>
    <m/>
    <s v="Warszawa"/>
    <n v="10"/>
    <n v="20"/>
  </r>
  <r>
    <s v="1091"/>
    <x v="13"/>
    <x v="100"/>
    <x v="27"/>
    <s v="Laura Callahan"/>
    <s v="Plutzer Lebensmittelgroßmärkte AG"/>
    <x v="1"/>
    <s v="Poland"/>
    <m/>
    <s v="Warszawa"/>
    <n v="7.75"/>
    <n v="30"/>
  </r>
  <r>
    <s v="1091"/>
    <x v="13"/>
    <x v="76"/>
    <x v="4"/>
    <s v="Margaret Peacock"/>
    <s v="Forêts d'érables"/>
    <x v="1"/>
    <s v="Poland"/>
    <m/>
    <s v="Warszawa"/>
    <n v="28.5"/>
    <n v="15"/>
  </r>
  <r>
    <s v="1067"/>
    <x v="14"/>
    <x v="119"/>
    <x v="16"/>
    <s v="Steven Buchanan"/>
    <s v="Plutzer Lebensmittelgroßmärkte AG"/>
    <x v="1"/>
    <s v="Brazil"/>
    <s v="RJ"/>
    <s v="Rio de Janeiro"/>
    <n v="13"/>
    <n v="20"/>
  </r>
  <r>
    <s v="1067"/>
    <x v="14"/>
    <x v="120"/>
    <x v="57"/>
    <s v="Nancy Davolio"/>
    <s v="New England Seafood Cannery"/>
    <x v="0"/>
    <s v="Brazil"/>
    <s v="RJ"/>
    <s v="Rio de Janeiro"/>
    <n v="9.65"/>
    <n v="20"/>
  </r>
  <r>
    <s v="1067"/>
    <x v="14"/>
    <x v="121"/>
    <x v="9"/>
    <s v="Nancy Davolio"/>
    <s v="Forêts d'érables"/>
    <x v="0"/>
    <s v="Brazil"/>
    <s v="RJ"/>
    <s v="Rio de Janeiro"/>
    <n v="49.3"/>
    <n v="10"/>
  </r>
  <r>
    <s v="1067"/>
    <x v="14"/>
    <x v="121"/>
    <x v="10"/>
    <s v="Nancy Davolio"/>
    <s v="Norske Meierier"/>
    <x v="0"/>
    <s v="Brazil"/>
    <s v="RJ"/>
    <s v="Rio de Janeiro"/>
    <n v="2.5"/>
    <n v="20"/>
  </r>
  <r>
    <s v="1067"/>
    <x v="14"/>
    <x v="122"/>
    <x v="26"/>
    <s v="Robert King"/>
    <s v="Lyngbysild"/>
    <x v="0"/>
    <s v="Brazil"/>
    <s v="RJ"/>
    <s v="Rio de Janeiro"/>
    <n v="9.6"/>
    <n v="20"/>
  </r>
  <r>
    <s v="1067"/>
    <x v="14"/>
    <x v="123"/>
    <x v="15"/>
    <s v="Andrew Fuller"/>
    <s v="Pavlova, Ltd."/>
    <x v="0"/>
    <s v="Brazil"/>
    <s v="RJ"/>
    <s v="Rio de Janeiro"/>
    <n v="39"/>
    <n v="20"/>
  </r>
  <r>
    <s v="1067"/>
    <x v="14"/>
    <x v="123"/>
    <x v="22"/>
    <s v="Andrew Fuller"/>
    <s v="Pasta Buttini s.r.l."/>
    <x v="0"/>
    <s v="Brazil"/>
    <s v="RJ"/>
    <s v="Rio de Janeiro"/>
    <n v="38"/>
    <n v="10"/>
  </r>
  <r>
    <s v="1067"/>
    <x v="14"/>
    <x v="123"/>
    <x v="17"/>
    <s v="Andrew Fuller"/>
    <s v="Gai pâturage"/>
    <x v="0"/>
    <s v="Brazil"/>
    <s v="RJ"/>
    <s v="Rio de Janeiro"/>
    <n v="55"/>
    <n v="10"/>
  </r>
  <r>
    <s v="1067"/>
    <x v="14"/>
    <x v="124"/>
    <x v="32"/>
    <s v="Margaret Peacock"/>
    <s v="Specialty Biscuits, Ltd."/>
    <x v="0"/>
    <s v="Brazil"/>
    <s v="RJ"/>
    <s v="Rio de Janeiro"/>
    <n v="10"/>
    <n v="3"/>
  </r>
  <r>
    <s v="1067"/>
    <x v="14"/>
    <x v="125"/>
    <x v="6"/>
    <s v="Margaret Peacock"/>
    <s v="G'day, Mate"/>
    <x v="1"/>
    <s v="Brazil"/>
    <s v="RJ"/>
    <s v="Rio de Janeiro"/>
    <n v="32.799999999999997"/>
    <n v="10"/>
  </r>
  <r>
    <s v="1067"/>
    <x v="14"/>
    <x v="109"/>
    <x v="50"/>
    <s v="Margaret Peacock"/>
    <s v="G'day, Mate"/>
    <x v="1"/>
    <s v="Brazil"/>
    <s v="RJ"/>
    <s v="Rio de Janeiro"/>
    <n v="7"/>
    <n v="14"/>
  </r>
  <r>
    <s v="1067"/>
    <x v="14"/>
    <x v="126"/>
    <x v="31"/>
    <s v="Laura Callahan"/>
    <s v="Plutzer Lebensmittelgroßmärkte AG"/>
    <x v="0"/>
    <s v="Brazil"/>
    <s v="RJ"/>
    <s v="Rio de Janeiro"/>
    <n v="36.4"/>
    <n v="12"/>
  </r>
  <r>
    <s v="1067"/>
    <x v="14"/>
    <x v="127"/>
    <x v="50"/>
    <s v="Anne Dodsworth"/>
    <s v="G'day, Mate"/>
    <x v="0"/>
    <s v="Brazil"/>
    <s v="RJ"/>
    <s v="Rio de Janeiro"/>
    <n v="7"/>
    <n v="4"/>
  </r>
  <r>
    <s v="1067"/>
    <x v="14"/>
    <x v="119"/>
    <x v="30"/>
    <s v="Steven Buchanan"/>
    <s v="Formaggi Fortini s.r.l."/>
    <x v="1"/>
    <s v="Brazil"/>
    <s v="RJ"/>
    <s v="Rio de Janeiro"/>
    <n v="34.799999999999997"/>
    <n v="40"/>
  </r>
  <r>
    <s v="1067"/>
    <x v="14"/>
    <x v="128"/>
    <x v="49"/>
    <s v="Anne Dodsworth"/>
    <s v="Karkki Oy"/>
    <x v="1"/>
    <s v="Brazil"/>
    <s v="RJ"/>
    <s v="Rio de Janeiro"/>
    <n v="20"/>
    <n v="28"/>
  </r>
  <r>
    <s v="1067"/>
    <x v="14"/>
    <x v="129"/>
    <x v="36"/>
    <s v="Andrew Fuller"/>
    <s v="Grandma Kelly's Homestead"/>
    <x v="1"/>
    <s v="Brazil"/>
    <s v="RJ"/>
    <s v="Rio de Janeiro"/>
    <n v="30"/>
    <n v="20"/>
  </r>
  <r>
    <s v="1067"/>
    <x v="14"/>
    <x v="129"/>
    <x v="41"/>
    <s v="Andrew Fuller"/>
    <s v="Refrescos Americanas LTDA"/>
    <x v="1"/>
    <s v="Brazil"/>
    <s v="RJ"/>
    <s v="Rio de Janeiro"/>
    <n v="4.5"/>
    <n v="10"/>
  </r>
  <r>
    <s v="1067"/>
    <x v="14"/>
    <x v="119"/>
    <x v="60"/>
    <s v="Steven Buchanan"/>
    <s v="Formaggi Fortini s.r.l."/>
    <x v="1"/>
    <s v="Brazil"/>
    <s v="RJ"/>
    <s v="Rio de Janeiro"/>
    <n v="12.5"/>
    <n v="16"/>
  </r>
  <r>
    <s v="1067"/>
    <x v="14"/>
    <x v="109"/>
    <x v="36"/>
    <s v="Margaret Peacock"/>
    <s v="Grandma Kelly's Homestead"/>
    <x v="1"/>
    <s v="Brazil"/>
    <s v="RJ"/>
    <s v="Rio de Janeiro"/>
    <n v="30"/>
    <n v="20"/>
  </r>
  <r>
    <s v="1067"/>
    <x v="14"/>
    <x v="124"/>
    <x v="0"/>
    <s v="Margaret Peacock"/>
    <s v="Ma Maison"/>
    <x v="0"/>
    <s v="Brazil"/>
    <s v="RJ"/>
    <s v="Rio de Janeiro"/>
    <n v="5.9"/>
    <n v="10"/>
  </r>
  <r>
    <s v="1067"/>
    <x v="14"/>
    <x v="125"/>
    <x v="47"/>
    <s v="Margaret Peacock"/>
    <s v="Pavlova, Ltd."/>
    <x v="1"/>
    <s v="Brazil"/>
    <s v="RJ"/>
    <s v="Rio de Janeiro"/>
    <n v="15"/>
    <n v="12"/>
  </r>
  <r>
    <s v="1067"/>
    <x v="14"/>
    <x v="126"/>
    <x v="56"/>
    <s v="Laura Callahan"/>
    <s v="Las Cabras"/>
    <x v="0"/>
    <s v="Brazil"/>
    <s v="RJ"/>
    <s v="Rio de Janeiro"/>
    <n v="16.8"/>
    <n v="6"/>
  </r>
  <r>
    <s v="1088"/>
    <x v="15"/>
    <x v="130"/>
    <x v="6"/>
    <s v="Laura Callahan"/>
    <s v="G'day, Mate"/>
    <x v="0"/>
    <s v="Brazil"/>
    <s v="SP"/>
    <s v="Resende"/>
    <n v="26.2"/>
    <n v="15"/>
  </r>
  <r>
    <s v="1088"/>
    <x v="15"/>
    <x v="131"/>
    <x v="56"/>
    <s v="Andrew Fuller"/>
    <s v="Las Cabras"/>
    <x v="0"/>
    <s v="Brazil"/>
    <s v="SP"/>
    <s v="Resende"/>
    <n v="21"/>
    <n v="15"/>
  </r>
  <r>
    <s v="1088"/>
    <x v="15"/>
    <x v="132"/>
    <x v="69"/>
    <s v="Janet Leverling"/>
    <s v="Las Cabras"/>
    <x v="0"/>
    <s v="Brazil"/>
    <s v="SP"/>
    <s v="Resende"/>
    <n v="30.4"/>
    <n v="12"/>
  </r>
  <r>
    <s v="1088"/>
    <x v="15"/>
    <x v="133"/>
    <x v="35"/>
    <s v="Andrew Fuller"/>
    <s v="Gai pâturage"/>
    <x v="0"/>
    <s v="Brazil"/>
    <s v="SP"/>
    <s v="Resende"/>
    <n v="34"/>
    <n v="24"/>
  </r>
  <r>
    <s v="1088"/>
    <x v="15"/>
    <x v="134"/>
    <x v="7"/>
    <s v="Steven Buchanan"/>
    <s v="Specialty Biscuits, Ltd."/>
    <x v="0"/>
    <s v="Brazil"/>
    <s v="SP"/>
    <s v="Resende"/>
    <n v="8"/>
    <n v="10"/>
  </r>
  <r>
    <s v="1088"/>
    <x v="15"/>
    <x v="135"/>
    <x v="6"/>
    <s v="Laura Callahan"/>
    <s v="G'day, Mate"/>
    <x v="0"/>
    <s v="Brazil"/>
    <s v="SP"/>
    <s v="Resende"/>
    <n v="26.2"/>
    <n v="10"/>
  </r>
  <r>
    <s v="1088"/>
    <x v="15"/>
    <x v="136"/>
    <x v="6"/>
    <s v="Laura Callahan"/>
    <s v="G'day, Mate"/>
    <x v="0"/>
    <s v="Brazil"/>
    <s v="SP"/>
    <s v="Resende"/>
    <n v="26.2"/>
    <n v="50"/>
  </r>
  <r>
    <s v="1088"/>
    <x v="15"/>
    <x v="131"/>
    <x v="1"/>
    <s v="Andrew Fuller"/>
    <s v="Pavlova, Ltd."/>
    <x v="0"/>
    <s v="Brazil"/>
    <s v="SP"/>
    <s v="Resende"/>
    <n v="17.45"/>
    <n v="14"/>
  </r>
  <r>
    <s v="1088"/>
    <x v="15"/>
    <x v="133"/>
    <x v="12"/>
    <s v="Andrew Fuller"/>
    <s v="Norske Meierier"/>
    <x v="0"/>
    <s v="Brazil"/>
    <s v="SP"/>
    <s v="Resende"/>
    <n v="36"/>
    <n v="10"/>
  </r>
  <r>
    <s v="1088"/>
    <x v="15"/>
    <x v="135"/>
    <x v="53"/>
    <s v="Laura Callahan"/>
    <s v="Pasta Buttini s.r.l."/>
    <x v="0"/>
    <s v="Brazil"/>
    <s v="SP"/>
    <s v="Resende"/>
    <n v="15.6"/>
    <n v="20"/>
  </r>
  <r>
    <s v="1088"/>
    <x v="15"/>
    <x v="136"/>
    <x v="51"/>
    <s v="Laura Callahan"/>
    <s v="Norske Meierier"/>
    <x v="0"/>
    <s v="Brazil"/>
    <s v="SP"/>
    <s v="Resende"/>
    <n v="17.2"/>
    <n v="30"/>
  </r>
  <r>
    <s v="1088"/>
    <x v="15"/>
    <x v="133"/>
    <x v="37"/>
    <s v="Andrew Fuller"/>
    <s v="Plutzer Lebensmittelgroßmärkte AG"/>
    <x v="0"/>
    <s v="Brazil"/>
    <s v="SP"/>
    <s v="Resende"/>
    <n v="123.79"/>
    <n v="10"/>
  </r>
  <r>
    <s v="1088"/>
    <x v="15"/>
    <x v="131"/>
    <x v="60"/>
    <s v="Andrew Fuller"/>
    <s v="Formaggi Fortini s.r.l."/>
    <x v="0"/>
    <s v="Brazil"/>
    <s v="SP"/>
    <s v="Resende"/>
    <n v="12.5"/>
    <n v="30"/>
  </r>
  <r>
    <s v="1088"/>
    <x v="15"/>
    <x v="135"/>
    <x v="23"/>
    <s v="Laura Callahan"/>
    <s v="Specialty Biscuits, Ltd."/>
    <x v="0"/>
    <s v="Brazil"/>
    <s v="SP"/>
    <s v="Resende"/>
    <n v="7.3"/>
    <n v="20"/>
  </r>
  <r>
    <s v="1088"/>
    <x v="15"/>
    <x v="136"/>
    <x v="4"/>
    <s v="Laura Callahan"/>
    <s v="Forêts d'érables"/>
    <x v="0"/>
    <s v="Brazil"/>
    <s v="SP"/>
    <s v="Resende"/>
    <n v="22.8"/>
    <n v="25"/>
  </r>
  <r>
    <s v="1088"/>
    <x v="15"/>
    <x v="137"/>
    <x v="51"/>
    <s v="Steven Buchanan"/>
    <s v="Norske Meierier"/>
    <x v="0"/>
    <s v="Brazil"/>
    <s v="SP"/>
    <s v="Resende"/>
    <n v="17.2"/>
    <n v="30"/>
  </r>
  <r>
    <s v="1088"/>
    <x v="15"/>
    <x v="138"/>
    <x v="25"/>
    <s v="Margaret Peacock"/>
    <s v="Escargots Nouveaux"/>
    <x v="0"/>
    <s v="Brazil"/>
    <s v="SP"/>
    <s v="Resende"/>
    <n v="13.25"/>
    <n v="6"/>
  </r>
  <r>
    <s v="1088"/>
    <x v="15"/>
    <x v="138"/>
    <x v="3"/>
    <s v="Margaret Peacock"/>
    <s v="New Orleans Cajun Delights"/>
    <x v="0"/>
    <s v="Brazil"/>
    <s v="SP"/>
    <s v="Resende"/>
    <n v="22"/>
    <n v="25"/>
  </r>
  <r>
    <s v="1088"/>
    <x v="15"/>
    <x v="139"/>
    <x v="54"/>
    <s v="Michael Suyama"/>
    <s v="Mayumi's"/>
    <x v="1"/>
    <s v="Brazil"/>
    <s v="SP"/>
    <s v="Resende"/>
    <n v="6"/>
    <n v="20"/>
  </r>
  <r>
    <s v="1088"/>
    <x v="15"/>
    <x v="131"/>
    <x v="13"/>
    <s v="Andrew Fuller"/>
    <s v="Bigfoot Breweries"/>
    <x v="0"/>
    <s v="Brazil"/>
    <s v="SP"/>
    <s v="Resende"/>
    <n v="18"/>
    <n v="6"/>
  </r>
  <r>
    <s v="1088"/>
    <x v="15"/>
    <x v="134"/>
    <x v="51"/>
    <s v="Steven Buchanan"/>
    <s v="Norske Meierier"/>
    <x v="0"/>
    <s v="Brazil"/>
    <s v="SP"/>
    <s v="Resende"/>
    <n v="17.2"/>
    <n v="40"/>
  </r>
  <r>
    <s v="1088"/>
    <x v="15"/>
    <x v="131"/>
    <x v="48"/>
    <s v="Andrew Fuller"/>
    <s v="PB Knäckebröd AB"/>
    <x v="0"/>
    <s v="Brazil"/>
    <s v="SP"/>
    <s v="Resende"/>
    <n v="21"/>
    <n v="24"/>
  </r>
  <r>
    <s v="1088"/>
    <x v="15"/>
    <x v="140"/>
    <x v="17"/>
    <s v="Anne Dodsworth"/>
    <s v="Gai pâturage"/>
    <x v="1"/>
    <s v="Brazil"/>
    <s v="SP"/>
    <s v="Resende"/>
    <n v="55"/>
    <n v="25"/>
  </r>
  <r>
    <s v="1088"/>
    <x v="15"/>
    <x v="140"/>
    <x v="21"/>
    <s v="Anne Dodsworth"/>
    <s v="Lyngbysild"/>
    <x v="1"/>
    <s v="Brazil"/>
    <s v="SP"/>
    <s v="Resende"/>
    <n v="9.5"/>
    <n v="40"/>
  </r>
  <r>
    <s v="1088"/>
    <x v="15"/>
    <x v="140"/>
    <x v="68"/>
    <s v="Anne Dodsworth"/>
    <s v="Mayumi's"/>
    <x v="1"/>
    <s v="Brazil"/>
    <s v="SP"/>
    <s v="Resende"/>
    <n v="23.25"/>
    <n v="5"/>
  </r>
  <r>
    <s v="1088"/>
    <x v="15"/>
    <x v="136"/>
    <x v="44"/>
    <s v="Laura Callahan"/>
    <s v="Aux joyeux ecclésiastiques"/>
    <x v="0"/>
    <s v="Brazil"/>
    <s v="SP"/>
    <s v="Resende"/>
    <n v="14.4"/>
    <n v="20"/>
  </r>
  <r>
    <s v="1088"/>
    <x v="15"/>
    <x v="139"/>
    <x v="46"/>
    <s v="Michael Suyama"/>
    <s v="Exotic Liquids"/>
    <x v="1"/>
    <s v="Brazil"/>
    <s v="SP"/>
    <s v="Resende"/>
    <n v="18"/>
    <n v="10"/>
  </r>
  <r>
    <s v="1088"/>
    <x v="15"/>
    <x v="141"/>
    <x v="68"/>
    <s v="Laura Callahan"/>
    <s v="Mayumi's"/>
    <x v="0"/>
    <s v="Brazil"/>
    <s v="SP"/>
    <s v="Resende"/>
    <n v="18.600000000000001"/>
    <n v="20"/>
  </r>
  <r>
    <s v="1088"/>
    <x v="15"/>
    <x v="142"/>
    <x v="22"/>
    <s v="Margaret Peacock"/>
    <s v="Pasta Buttini s.r.l."/>
    <x v="0"/>
    <s v="Brazil"/>
    <s v="SP"/>
    <s v="Resende"/>
    <n v="38"/>
    <n v="30"/>
  </r>
  <r>
    <s v="1088"/>
    <x v="15"/>
    <x v="20"/>
    <x v="19"/>
    <s v="Nancy Davolio"/>
    <s v="Svensk Sjöföda AB"/>
    <x v="0"/>
    <s v="Brazil"/>
    <s v="SP"/>
    <s v="Resende"/>
    <n v="15.2"/>
    <n v="30"/>
  </r>
  <r>
    <s v="1088"/>
    <x v="15"/>
    <x v="142"/>
    <x v="54"/>
    <s v="Margaret Peacock"/>
    <s v="Mayumi's"/>
    <x v="0"/>
    <s v="Brazil"/>
    <s v="SP"/>
    <s v="Resende"/>
    <n v="6"/>
    <n v="10"/>
  </r>
  <r>
    <s v="1088"/>
    <x v="15"/>
    <x v="143"/>
    <x v="0"/>
    <s v="Andrew Fuller"/>
    <s v="Ma Maison"/>
    <x v="1"/>
    <s v="Brazil"/>
    <s v="SP"/>
    <s v="Resende"/>
    <n v="7.45"/>
    <n v="3"/>
  </r>
  <r>
    <s v="1088"/>
    <x v="15"/>
    <x v="143"/>
    <x v="22"/>
    <s v="Andrew Fuller"/>
    <s v="Pasta Buttini s.r.l."/>
    <x v="1"/>
    <s v="Brazil"/>
    <s v="SP"/>
    <s v="Resende"/>
    <n v="38"/>
    <n v="20"/>
  </r>
  <r>
    <s v="1088"/>
    <x v="15"/>
    <x v="142"/>
    <x v="46"/>
    <s v="Margaret Peacock"/>
    <s v="Exotic Liquids"/>
    <x v="0"/>
    <s v="Brazil"/>
    <s v="SP"/>
    <s v="Resende"/>
    <n v="18"/>
    <n v="8"/>
  </r>
  <r>
    <s v="1088"/>
    <x v="15"/>
    <x v="134"/>
    <x v="68"/>
    <s v="Steven Buchanan"/>
    <s v="Mayumi's"/>
    <x v="0"/>
    <s v="Brazil"/>
    <s v="SP"/>
    <s v="Resende"/>
    <n v="18.600000000000001"/>
    <n v="10"/>
  </r>
  <r>
    <s v="1088"/>
    <x v="15"/>
    <x v="20"/>
    <x v="38"/>
    <s v="Nancy Davolio"/>
    <s v="Leka Trading"/>
    <x v="0"/>
    <s v="Brazil"/>
    <s v="SP"/>
    <s v="Resende"/>
    <n v="36.799999999999997"/>
    <n v="25"/>
  </r>
  <r>
    <s v="1088"/>
    <x v="15"/>
    <x v="143"/>
    <x v="74"/>
    <s v="Andrew Fuller"/>
    <s v="Tokyo Traders"/>
    <x v="1"/>
    <s v="Brazil"/>
    <s v="SP"/>
    <s v="Resende"/>
    <n v="10"/>
    <n v="35"/>
  </r>
  <r>
    <s v="1044"/>
    <x v="16"/>
    <x v="144"/>
    <x v="76"/>
    <s v="Nancy Davolio"/>
    <s v="New England Seafood Cannery"/>
    <x v="0"/>
    <s v="Germany"/>
    <m/>
    <s v="Frankfurt a.M."/>
    <n v="14.7"/>
    <n v="10"/>
  </r>
  <r>
    <s v="1044"/>
    <x v="16"/>
    <x v="145"/>
    <x v="56"/>
    <s v="Laura Callahan"/>
    <s v="Las Cabras"/>
    <x v="0"/>
    <s v="Germany"/>
    <m/>
    <s v="Frankfurt a.M."/>
    <n v="21"/>
    <n v="10"/>
  </r>
  <r>
    <s v="1034"/>
    <x v="17"/>
    <x v="108"/>
    <x v="43"/>
    <s v="Nancy Davolio"/>
    <s v="Tokyo Traders"/>
    <x v="1"/>
    <s v="Brazil"/>
    <s v="RJ"/>
    <s v="Rio de Janeiro"/>
    <n v="31"/>
    <n v="10"/>
  </r>
  <r>
    <s v="1034"/>
    <x v="17"/>
    <x v="146"/>
    <x v="30"/>
    <s v="Laura Callahan"/>
    <s v="Formaggi Fortini s.r.l."/>
    <x v="0"/>
    <s v="Brazil"/>
    <s v="RJ"/>
    <s v="Rio de Janeiro"/>
    <n v="27.8"/>
    <n v="4"/>
  </r>
  <r>
    <s v="1034"/>
    <x v="17"/>
    <x v="108"/>
    <x v="27"/>
    <s v="Nancy Davolio"/>
    <s v="Plutzer Lebensmittelgroßmärkte AG"/>
    <x v="1"/>
    <s v="Brazil"/>
    <s v="RJ"/>
    <s v="Rio de Janeiro"/>
    <n v="7.75"/>
    <n v="10"/>
  </r>
  <r>
    <s v="1034"/>
    <x v="17"/>
    <x v="146"/>
    <x v="37"/>
    <s v="Laura Callahan"/>
    <s v="Plutzer Lebensmittelgroßmärkte AG"/>
    <x v="0"/>
    <s v="Brazil"/>
    <s v="RJ"/>
    <s v="Rio de Janeiro"/>
    <n v="99"/>
    <n v="10"/>
  </r>
  <r>
    <s v="1041"/>
    <x v="18"/>
    <x v="147"/>
    <x v="15"/>
    <s v="Margaret Peacock"/>
    <s v="Pavlova, Ltd."/>
    <x v="1"/>
    <s v="France"/>
    <m/>
    <s v="Toulouse"/>
    <n v="39"/>
    <n v="6"/>
  </r>
  <r>
    <s v="1041"/>
    <x v="18"/>
    <x v="148"/>
    <x v="36"/>
    <s v="Andrew Fuller"/>
    <s v="Grandma Kelly's Homestead"/>
    <x v="1"/>
    <s v="France"/>
    <m/>
    <s v="Toulouse"/>
    <n v="30"/>
    <n v="5"/>
  </r>
  <r>
    <s v="1041"/>
    <x v="18"/>
    <x v="147"/>
    <x v="10"/>
    <s v="Margaret Peacock"/>
    <s v="Norske Meierier"/>
    <x v="1"/>
    <s v="France"/>
    <m/>
    <s v="Toulouse"/>
    <n v="2.5"/>
    <n v="7"/>
  </r>
  <r>
    <s v="1041"/>
    <x v="18"/>
    <x v="148"/>
    <x v="65"/>
    <s v="Andrew Fuller"/>
    <s v="Heli Süßwaren GmbH &amp; Co. KG"/>
    <x v="1"/>
    <s v="France"/>
    <m/>
    <s v="Toulouse"/>
    <n v="43.9"/>
    <n v="10"/>
  </r>
  <r>
    <s v="1041"/>
    <x v="18"/>
    <x v="149"/>
    <x v="59"/>
    <s v="Margaret Peacock"/>
    <s v="Specialty Biscuits, Ltd."/>
    <x v="1"/>
    <s v="France"/>
    <m/>
    <s v="Toulouse"/>
    <n v="81"/>
    <n v="5"/>
  </r>
  <r>
    <s v="1041"/>
    <x v="18"/>
    <x v="149"/>
    <x v="40"/>
    <s v="Margaret Peacock"/>
    <s v="Karkki Oy"/>
    <x v="1"/>
    <s v="France"/>
    <m/>
    <s v="Toulouse"/>
    <n v="18"/>
    <n v="20"/>
  </r>
  <r>
    <s v="1041"/>
    <x v="18"/>
    <x v="147"/>
    <x v="5"/>
    <s v="Michael Suyama"/>
    <s v="Heli Süßwaren GmbH &amp; Co. KG"/>
    <x v="1"/>
    <s v="France"/>
    <m/>
    <s v="Toulouse"/>
    <n v="31.23"/>
    <n v="5"/>
  </r>
  <r>
    <s v="1041"/>
    <x v="18"/>
    <x v="148"/>
    <x v="47"/>
    <s v="Andrew Fuller"/>
    <s v="Pavlova, Ltd."/>
    <x v="1"/>
    <s v="France"/>
    <m/>
    <s v="Toulouse"/>
    <n v="15"/>
    <n v="4"/>
  </r>
  <r>
    <s v="1041"/>
    <x v="18"/>
    <x v="147"/>
    <x v="57"/>
    <s v="Michael Suyama"/>
    <s v="New England Seafood Cannery"/>
    <x v="1"/>
    <s v="France"/>
    <m/>
    <s v="Toulouse"/>
    <n v="9.65"/>
    <n v="6"/>
  </r>
  <r>
    <s v="1041"/>
    <x v="18"/>
    <x v="147"/>
    <x v="27"/>
    <s v="Michael Suyama"/>
    <s v="Plutzer Lebensmittelgroßmärkte AG"/>
    <x v="1"/>
    <s v="France"/>
    <m/>
    <s v="Toulouse"/>
    <n v="7.75"/>
    <n v="10"/>
  </r>
  <r>
    <s v="1041"/>
    <x v="18"/>
    <x v="149"/>
    <x v="50"/>
    <s v="Margaret Peacock"/>
    <s v="G'day, Mate"/>
    <x v="1"/>
    <s v="France"/>
    <m/>
    <s v="Toulouse"/>
    <n v="7"/>
    <n v="5"/>
  </r>
  <r>
    <s v="1036"/>
    <x v="19"/>
    <x v="150"/>
    <x v="62"/>
    <s v="Laura Callahan"/>
    <s v="Plutzer Lebensmittelgroßmärkte AG"/>
    <x v="1"/>
    <s v="USA"/>
    <s v="OR"/>
    <s v="Elgin"/>
    <n v="33.25"/>
    <n v="8"/>
  </r>
  <r>
    <s v="1036"/>
    <x v="19"/>
    <x v="151"/>
    <x v="76"/>
    <s v="Laura Callahan"/>
    <s v="New England Seafood Cannery"/>
    <x v="0"/>
    <s v="USA"/>
    <s v="OR"/>
    <s v="Elgin"/>
    <n v="18.399999999999999"/>
    <n v="5"/>
  </r>
  <r>
    <s v="1036"/>
    <x v="19"/>
    <x v="86"/>
    <x v="46"/>
    <s v="Margaret Peacock"/>
    <s v="Exotic Liquids"/>
    <x v="1"/>
    <s v="USA"/>
    <s v="OR"/>
    <s v="Elgin"/>
    <n v="18"/>
    <n v="20"/>
  </r>
  <r>
    <s v="1036"/>
    <x v="19"/>
    <x v="152"/>
    <x v="17"/>
    <s v="Robert King"/>
    <s v="Gai pâturage"/>
    <x v="0"/>
    <s v="USA"/>
    <s v="OR"/>
    <s v="Elgin"/>
    <n v="55"/>
    <n v="35"/>
  </r>
  <r>
    <s v="1036"/>
    <x v="19"/>
    <x v="152"/>
    <x v="54"/>
    <s v="Robert King"/>
    <s v="Mayumi's"/>
    <x v="0"/>
    <s v="USA"/>
    <s v="OR"/>
    <s v="Elgin"/>
    <n v="6"/>
    <n v="60"/>
  </r>
  <r>
    <s v="1036"/>
    <x v="19"/>
    <x v="153"/>
    <x v="12"/>
    <s v="Michael Suyama"/>
    <s v="Norske Meierier"/>
    <x v="0"/>
    <s v="USA"/>
    <s v="OR"/>
    <s v="Elgin"/>
    <n v="28.8"/>
    <n v="8"/>
  </r>
  <r>
    <s v="1036"/>
    <x v="19"/>
    <x v="154"/>
    <x v="51"/>
    <s v="Margaret Peacock"/>
    <s v="Norske Meierier"/>
    <x v="1"/>
    <s v="USA"/>
    <s v="OR"/>
    <s v="Elgin"/>
    <n v="21.5"/>
    <n v="30"/>
  </r>
  <r>
    <s v="1036"/>
    <x v="19"/>
    <x v="150"/>
    <x v="33"/>
    <s v="Laura Callahan"/>
    <s v="Nord-Ost-Fisch Handelsgesellschaft mbH"/>
    <x v="1"/>
    <s v="USA"/>
    <s v="OR"/>
    <s v="Elgin"/>
    <n v="25.89"/>
    <n v="30"/>
  </r>
  <r>
    <s v="1036"/>
    <x v="19"/>
    <x v="155"/>
    <x v="5"/>
    <s v="Janet Leverling"/>
    <s v="Heli Süßwaren GmbH &amp; Co. KG"/>
    <x v="1"/>
    <s v="USA"/>
    <s v="OR"/>
    <s v="Elgin"/>
    <n v="31.23"/>
    <n v="21"/>
  </r>
  <r>
    <s v="1036"/>
    <x v="19"/>
    <x v="156"/>
    <x v="56"/>
    <s v="Nancy Davolio"/>
    <s v="Las Cabras"/>
    <x v="0"/>
    <s v="USA"/>
    <s v="OR"/>
    <s v="Elgin"/>
    <n v="16.8"/>
    <n v="5"/>
  </r>
  <r>
    <s v="1036"/>
    <x v="19"/>
    <x v="154"/>
    <x v="57"/>
    <s v="Margaret Peacock"/>
    <s v="New England Seafood Cannery"/>
    <x v="1"/>
    <s v="USA"/>
    <s v="OR"/>
    <s v="Elgin"/>
    <n v="9.65"/>
    <n v="30"/>
  </r>
  <r>
    <s v="1036"/>
    <x v="19"/>
    <x v="157"/>
    <x v="54"/>
    <s v="Margaret Peacock"/>
    <s v="Mayumi's"/>
    <x v="0"/>
    <s v="USA"/>
    <s v="OR"/>
    <s v="Elgin"/>
    <n v="6"/>
    <n v="8"/>
  </r>
  <r>
    <s v="1036"/>
    <x v="19"/>
    <x v="155"/>
    <x v="12"/>
    <s v="Janet Leverling"/>
    <s v="Norske Meierier"/>
    <x v="1"/>
    <s v="USA"/>
    <s v="OR"/>
    <s v="Elgin"/>
    <n v="36"/>
    <n v="24"/>
  </r>
  <r>
    <s v="1036"/>
    <x v="19"/>
    <x v="155"/>
    <x v="62"/>
    <s v="Janet Leverling"/>
    <s v="Plutzer Lebensmittelgroßmärkte AG"/>
    <x v="1"/>
    <s v="USA"/>
    <s v="OR"/>
    <s v="Elgin"/>
    <n v="33.25"/>
    <n v="35"/>
  </r>
  <r>
    <s v="1036"/>
    <x v="19"/>
    <x v="151"/>
    <x v="41"/>
    <s v="Laura Callahan"/>
    <s v="Refrescos Americanas LTDA"/>
    <x v="0"/>
    <s v="USA"/>
    <s v="OR"/>
    <s v="Elgin"/>
    <n v="4.5"/>
    <n v="14"/>
  </r>
  <r>
    <s v="1036"/>
    <x v="19"/>
    <x v="151"/>
    <x v="45"/>
    <s v="Laura Callahan"/>
    <s v="Leka Trading"/>
    <x v="0"/>
    <s v="USA"/>
    <s v="OR"/>
    <s v="Elgin"/>
    <n v="14"/>
    <n v="30"/>
  </r>
  <r>
    <s v="1036"/>
    <x v="19"/>
    <x v="155"/>
    <x v="29"/>
    <s v="Janet Leverling"/>
    <s v="Leka Trading"/>
    <x v="1"/>
    <s v="USA"/>
    <s v="OR"/>
    <s v="Elgin"/>
    <n v="19.45"/>
    <n v="10"/>
  </r>
  <r>
    <s v="1036"/>
    <x v="19"/>
    <x v="158"/>
    <x v="12"/>
    <s v="Andrew Fuller"/>
    <s v="Norske Meierier"/>
    <x v="0"/>
    <s v="USA"/>
    <s v="OR"/>
    <s v="Elgin"/>
    <n v="36"/>
    <n v="18"/>
  </r>
  <r>
    <s v="1036"/>
    <x v="19"/>
    <x v="30"/>
    <x v="57"/>
    <s v="Janet Leverling"/>
    <s v="New England Seafood Cannery"/>
    <x v="1"/>
    <s v="USA"/>
    <s v="OR"/>
    <s v="Elgin"/>
    <n v="9.65"/>
    <n v="24"/>
  </r>
  <r>
    <s v="1036"/>
    <x v="19"/>
    <x v="33"/>
    <x v="47"/>
    <s v="Laura Callahan"/>
    <s v="Pavlova, Ltd."/>
    <x v="0"/>
    <s v="USA"/>
    <s v="OR"/>
    <s v="Elgin"/>
    <n v="12"/>
    <n v="12"/>
  </r>
  <r>
    <s v="1036"/>
    <x v="19"/>
    <x v="150"/>
    <x v="13"/>
    <s v="Laura Callahan"/>
    <s v="Bigfoot Breweries"/>
    <x v="1"/>
    <s v="USA"/>
    <s v="OR"/>
    <s v="Elgin"/>
    <n v="18"/>
    <n v="40"/>
  </r>
  <r>
    <s v="1036"/>
    <x v="19"/>
    <x v="159"/>
    <x v="8"/>
    <s v="Margaret Peacock"/>
    <s v="Exotic Liquids"/>
    <x v="0"/>
    <s v="USA"/>
    <s v="OR"/>
    <s v="Elgin"/>
    <n v="19"/>
    <n v="50"/>
  </r>
  <r>
    <s v="1036"/>
    <x v="19"/>
    <x v="156"/>
    <x v="74"/>
    <s v="Nancy Davolio"/>
    <s v="Tokyo Traders"/>
    <x v="0"/>
    <s v="USA"/>
    <s v="OR"/>
    <s v="Elgin"/>
    <n v="8"/>
    <n v="16"/>
  </r>
  <r>
    <s v="1036"/>
    <x v="19"/>
    <x v="160"/>
    <x v="53"/>
    <s v="Robert King"/>
    <s v="Pasta Buttini s.r.l."/>
    <x v="1"/>
    <s v="USA"/>
    <s v="OR"/>
    <s v="Elgin"/>
    <n v="19.5"/>
    <n v="20"/>
  </r>
  <r>
    <s v="1036"/>
    <x v="19"/>
    <x v="160"/>
    <x v="34"/>
    <s v="Robert King"/>
    <s v="G'day, Mate"/>
    <x v="1"/>
    <s v="USA"/>
    <s v="OR"/>
    <s v="Elgin"/>
    <n v="53"/>
    <n v="20"/>
  </r>
  <r>
    <s v="1036"/>
    <x v="19"/>
    <x v="160"/>
    <x v="52"/>
    <s v="Robert King"/>
    <s v="Heli Süßwaren GmbH &amp; Co. KG"/>
    <x v="1"/>
    <s v="USA"/>
    <s v="OR"/>
    <s v="Elgin"/>
    <n v="14"/>
    <n v="15"/>
  </r>
  <r>
    <s v="1036"/>
    <x v="19"/>
    <x v="22"/>
    <x v="31"/>
    <s v="Nancy Davolio"/>
    <s v="Plutzer Lebensmittelgroßmärkte AG"/>
    <x v="1"/>
    <s v="USA"/>
    <s v="OR"/>
    <s v="Elgin"/>
    <n v="45.6"/>
    <n v="20"/>
  </r>
  <r>
    <s v="1036"/>
    <x v="19"/>
    <x v="161"/>
    <x v="65"/>
    <s v="Margaret Peacock"/>
    <s v="Heli Süßwaren GmbH &amp; Co. KG"/>
    <x v="0"/>
    <s v="USA"/>
    <s v="OR"/>
    <s v="Elgin"/>
    <n v="35.1"/>
    <n v="25"/>
  </r>
  <r>
    <s v="1036"/>
    <x v="19"/>
    <x v="161"/>
    <x v="44"/>
    <s v="Margaret Peacock"/>
    <s v="Aux joyeux ecclésiastiques"/>
    <x v="0"/>
    <s v="USA"/>
    <s v="OR"/>
    <s v="Elgin"/>
    <n v="14.4"/>
    <n v="6"/>
  </r>
  <r>
    <s v="1036"/>
    <x v="19"/>
    <x v="33"/>
    <x v="63"/>
    <s v="Laura Callahan"/>
    <s v="Ma Maison"/>
    <x v="0"/>
    <s v="USA"/>
    <s v="OR"/>
    <s v="Elgin"/>
    <n v="19.2"/>
    <n v="2"/>
  </r>
  <r>
    <s v="1036"/>
    <x v="19"/>
    <x v="86"/>
    <x v="25"/>
    <s v="Margaret Peacock"/>
    <s v="Escargots Nouveaux"/>
    <x v="1"/>
    <s v="USA"/>
    <s v="OR"/>
    <s v="Elgin"/>
    <n v="13.25"/>
    <n v="12"/>
  </r>
  <r>
    <s v="1036"/>
    <x v="19"/>
    <x v="158"/>
    <x v="27"/>
    <s v="Andrew Fuller"/>
    <s v="Plutzer Lebensmittelgroßmärkte AG"/>
    <x v="0"/>
    <s v="USA"/>
    <s v="OR"/>
    <s v="Elgin"/>
    <n v="7.75"/>
    <n v="30"/>
  </r>
  <r>
    <s v="1036"/>
    <x v="19"/>
    <x v="30"/>
    <x v="41"/>
    <s v="Janet Leverling"/>
    <s v="Refrescos Americanas LTDA"/>
    <x v="1"/>
    <s v="USA"/>
    <s v="OR"/>
    <s v="Elgin"/>
    <n v="4.5"/>
    <n v="10"/>
  </r>
  <r>
    <s v="1036"/>
    <x v="19"/>
    <x v="162"/>
    <x v="60"/>
    <s v="Anne Dodsworth"/>
    <s v="Formaggi Fortini s.r.l."/>
    <x v="0"/>
    <s v="USA"/>
    <s v="OR"/>
    <s v="Elgin"/>
    <n v="12.5"/>
    <n v="20"/>
  </r>
  <r>
    <s v="1036"/>
    <x v="19"/>
    <x v="159"/>
    <x v="76"/>
    <s v="Margaret Peacock"/>
    <s v="New England Seafood Cannery"/>
    <x v="0"/>
    <s v="USA"/>
    <s v="OR"/>
    <s v="Elgin"/>
    <n v="18.399999999999999"/>
    <n v="60"/>
  </r>
  <r>
    <s v="1036"/>
    <x v="19"/>
    <x v="162"/>
    <x v="61"/>
    <s v="Anne Dodsworth"/>
    <s v="Formaggi Fortini s.r.l."/>
    <x v="0"/>
    <s v="USA"/>
    <s v="OR"/>
    <s v="Elgin"/>
    <n v="32"/>
    <n v="4"/>
  </r>
  <r>
    <s v="1036"/>
    <x v="19"/>
    <x v="161"/>
    <x v="16"/>
    <s v="Margaret Peacock"/>
    <s v="Plutzer Lebensmittelgroßmärkte AG"/>
    <x v="0"/>
    <s v="USA"/>
    <s v="OR"/>
    <s v="Elgin"/>
    <n v="10.4"/>
    <n v="15"/>
  </r>
  <r>
    <s v="1036"/>
    <x v="19"/>
    <x v="23"/>
    <x v="17"/>
    <s v="Robert King"/>
    <s v="Gai pâturage"/>
    <x v="0"/>
    <s v="USA"/>
    <s v="OR"/>
    <s v="Elgin"/>
    <n v="44"/>
    <n v="60"/>
  </r>
  <r>
    <s v="1036"/>
    <x v="19"/>
    <x v="156"/>
    <x v="34"/>
    <s v="Nancy Davolio"/>
    <s v="G'day, Mate"/>
    <x v="0"/>
    <s v="USA"/>
    <s v="OR"/>
    <s v="Elgin"/>
    <n v="42.4"/>
    <n v="25"/>
  </r>
  <r>
    <s v="1036"/>
    <x v="19"/>
    <x v="160"/>
    <x v="41"/>
    <s v="Robert King"/>
    <s v="Refrescos Americanas LTDA"/>
    <x v="1"/>
    <s v="USA"/>
    <s v="OR"/>
    <s v="Elgin"/>
    <n v="4.5"/>
    <n v="15"/>
  </r>
  <r>
    <s v="1036"/>
    <x v="19"/>
    <x v="23"/>
    <x v="27"/>
    <s v="Robert King"/>
    <s v="Plutzer Lebensmittelgroßmärkte AG"/>
    <x v="0"/>
    <s v="USA"/>
    <s v="OR"/>
    <s v="Elgin"/>
    <n v="6.2"/>
    <n v="36"/>
  </r>
  <r>
    <s v="1036"/>
    <x v="19"/>
    <x v="157"/>
    <x v="27"/>
    <s v="Margaret Peacock"/>
    <s v="Plutzer Lebensmittelgroßmärkte AG"/>
    <x v="0"/>
    <s v="USA"/>
    <s v="OR"/>
    <s v="Elgin"/>
    <n v="7.75"/>
    <n v="40"/>
  </r>
  <r>
    <s v="1036"/>
    <x v="19"/>
    <x v="153"/>
    <x v="6"/>
    <s v="Michael Suyama"/>
    <s v="G'day, Mate"/>
    <x v="0"/>
    <s v="USA"/>
    <s v="OR"/>
    <s v="Elgin"/>
    <n v="26.2"/>
    <n v="70"/>
  </r>
  <r>
    <s v="1036"/>
    <x v="19"/>
    <x v="153"/>
    <x v="26"/>
    <s v="Michael Suyama"/>
    <s v="Lyngbysild"/>
    <x v="0"/>
    <s v="USA"/>
    <s v="OR"/>
    <s v="Elgin"/>
    <n v="9.6"/>
    <n v="28"/>
  </r>
  <r>
    <s v="1036"/>
    <x v="19"/>
    <x v="23"/>
    <x v="32"/>
    <s v="Robert King"/>
    <s v="Specialty Biscuits, Ltd."/>
    <x v="0"/>
    <s v="USA"/>
    <s v="OR"/>
    <s v="Elgin"/>
    <n v="10"/>
    <n v="30"/>
  </r>
  <r>
    <s v="1035"/>
    <x v="20"/>
    <x v="163"/>
    <x v="51"/>
    <s v="Andrew Fuller"/>
    <s v="Norske Meierier"/>
    <x v="0"/>
    <s v="Venezuela"/>
    <s v="Táchira"/>
    <s v="San Cristóbal"/>
    <n v="21.5"/>
    <n v="9"/>
  </r>
  <r>
    <s v="1035"/>
    <x v="20"/>
    <x v="164"/>
    <x v="4"/>
    <s v="Janet Leverling"/>
    <s v="Forêts d'érables"/>
    <x v="1"/>
    <s v="Venezuela"/>
    <s v="Táchira"/>
    <s v="San Cristóbal"/>
    <n v="28.5"/>
    <n v="10"/>
  </r>
  <r>
    <s v="1035"/>
    <x v="20"/>
    <x v="165"/>
    <x v="57"/>
    <s v="Margaret Peacock"/>
    <s v="New England Seafood Cannery"/>
    <x v="0"/>
    <s v="Venezuela"/>
    <s v="Táchira"/>
    <s v="San Cristóbal"/>
    <n v="7.7"/>
    <n v="10"/>
  </r>
  <r>
    <s v="1035"/>
    <x v="20"/>
    <x v="165"/>
    <x v="39"/>
    <s v="Margaret Peacock"/>
    <s v="New Orleans Cajun Delights"/>
    <x v="0"/>
    <s v="Venezuela"/>
    <s v="Táchira"/>
    <s v="San Cristóbal"/>
    <n v="16.8"/>
    <n v="15"/>
  </r>
  <r>
    <s v="1035"/>
    <x v="20"/>
    <x v="165"/>
    <x v="34"/>
    <s v="Margaret Peacock"/>
    <s v="G'day, Mate"/>
    <x v="0"/>
    <s v="Venezuela"/>
    <s v="Táchira"/>
    <s v="San Cristóbal"/>
    <n v="42.4"/>
    <n v="35"/>
  </r>
  <r>
    <s v="1035"/>
    <x v="20"/>
    <x v="163"/>
    <x v="18"/>
    <s v="Andrew Fuller"/>
    <s v="Aux joyeux ecclésiastiques"/>
    <x v="0"/>
    <s v="Venezuela"/>
    <s v="Táchira"/>
    <s v="San Cristóbal"/>
    <n v="263.5"/>
    <n v="4"/>
  </r>
  <r>
    <s v="1035"/>
    <x v="20"/>
    <x v="166"/>
    <x v="16"/>
    <s v="Nancy Davolio"/>
    <s v="Plutzer Lebensmittelgroßmärkte AG"/>
    <x v="0"/>
    <s v="Venezuela"/>
    <s v="Táchira"/>
    <s v="San Cristóbal"/>
    <n v="13"/>
    <n v="30"/>
  </r>
  <r>
    <s v="1035"/>
    <x v="20"/>
    <x v="164"/>
    <x v="38"/>
    <s v="Janet Leverling"/>
    <s v="Leka Trading"/>
    <x v="1"/>
    <s v="Venezuela"/>
    <s v="Táchira"/>
    <s v="San Cristóbal"/>
    <n v="46"/>
    <n v="30"/>
  </r>
  <r>
    <s v="1035"/>
    <x v="20"/>
    <x v="167"/>
    <x v="16"/>
    <s v="Nancy Davolio"/>
    <s v="Plutzer Lebensmittelgroßmärkte AG"/>
    <x v="1"/>
    <s v="Venezuela"/>
    <s v="Táchira"/>
    <s v="San Cristóbal"/>
    <n v="13"/>
    <n v="40"/>
  </r>
  <r>
    <s v="1035"/>
    <x v="20"/>
    <x v="92"/>
    <x v="41"/>
    <s v="Steven Buchanan"/>
    <s v="Refrescos Americanas LTDA"/>
    <x v="1"/>
    <s v="Venezuela"/>
    <s v="Táchira"/>
    <s v="San Cristóbal"/>
    <n v="4.5"/>
    <n v="35"/>
  </r>
  <r>
    <s v="1035"/>
    <x v="20"/>
    <x v="168"/>
    <x v="56"/>
    <s v="Laura Callahan"/>
    <s v="Las Cabras"/>
    <x v="1"/>
    <s v="Venezuela"/>
    <s v="Táchira"/>
    <s v="San Cristóbal"/>
    <n v="21"/>
    <n v="15"/>
  </r>
  <r>
    <s v="1035"/>
    <x v="20"/>
    <x v="163"/>
    <x v="39"/>
    <s v="Andrew Fuller"/>
    <s v="New Orleans Cajun Delights"/>
    <x v="0"/>
    <s v="Venezuela"/>
    <s v="Táchira"/>
    <s v="San Cristóbal"/>
    <n v="21.05"/>
    <n v="36"/>
  </r>
  <r>
    <s v="1035"/>
    <x v="20"/>
    <x v="169"/>
    <x v="11"/>
    <s v="Margaret Peacock"/>
    <s v="Pavlova, Ltd."/>
    <x v="0"/>
    <s v="Venezuela"/>
    <s v="Táchira"/>
    <s v="San Cristóbal"/>
    <n v="62.5"/>
    <n v="20"/>
  </r>
  <r>
    <s v="1035"/>
    <x v="20"/>
    <x v="163"/>
    <x v="41"/>
    <s v="Andrew Fuller"/>
    <s v="Refrescos Americanas LTDA"/>
    <x v="0"/>
    <s v="Venezuela"/>
    <s v="Táchira"/>
    <s v="San Cristóbal"/>
    <n v="4.5"/>
    <n v="35"/>
  </r>
  <r>
    <s v="1035"/>
    <x v="20"/>
    <x v="170"/>
    <x v="18"/>
    <s v="Nancy Davolio"/>
    <s v="Aux joyeux ecclésiastiques"/>
    <x v="1"/>
    <s v="Venezuela"/>
    <s v="Táchira"/>
    <s v="San Cristóbal"/>
    <n v="263.5"/>
    <n v="60"/>
  </r>
  <r>
    <s v="1035"/>
    <x v="20"/>
    <x v="171"/>
    <x v="60"/>
    <s v="Janet Leverling"/>
    <s v="Formaggi Fortini s.r.l."/>
    <x v="0"/>
    <s v="Venezuela"/>
    <s v="Táchira"/>
    <s v="San Cristóbal"/>
    <n v="10"/>
    <n v="20"/>
  </r>
  <r>
    <s v="1035"/>
    <x v="20"/>
    <x v="167"/>
    <x v="43"/>
    <s v="Nancy Davolio"/>
    <s v="Tokyo Traders"/>
    <x v="1"/>
    <s v="Venezuela"/>
    <s v="Táchira"/>
    <s v="San Cristóbal"/>
    <n v="31"/>
    <n v="70"/>
  </r>
  <r>
    <s v="1035"/>
    <x v="20"/>
    <x v="172"/>
    <x v="50"/>
    <s v="Janet Leverling"/>
    <s v="G'day, Mate"/>
    <x v="1"/>
    <s v="Venezuela"/>
    <s v="Táchira"/>
    <s v="San Cristóbal"/>
    <n v="7"/>
    <n v="12"/>
  </r>
  <r>
    <s v="1035"/>
    <x v="20"/>
    <x v="172"/>
    <x v="19"/>
    <s v="Janet Leverling"/>
    <s v="Svensk Sjöföda AB"/>
    <x v="1"/>
    <s v="Venezuela"/>
    <s v="Táchira"/>
    <s v="San Cristóbal"/>
    <n v="19"/>
    <n v="25"/>
  </r>
  <r>
    <s v="1035"/>
    <x v="20"/>
    <x v="108"/>
    <x v="18"/>
    <s v="Margaret Peacock"/>
    <s v="Aux joyeux ecclésiastiques"/>
    <x v="1"/>
    <s v="Venezuela"/>
    <s v="Táchira"/>
    <s v="San Cristóbal"/>
    <n v="263.5"/>
    <n v="5"/>
  </r>
  <r>
    <s v="1035"/>
    <x v="20"/>
    <x v="108"/>
    <x v="60"/>
    <s v="Margaret Peacock"/>
    <s v="Formaggi Fortini s.r.l."/>
    <x v="1"/>
    <s v="Venezuela"/>
    <s v="Táchira"/>
    <s v="San Cristóbal"/>
    <n v="12.5"/>
    <n v="10"/>
  </r>
  <r>
    <s v="1035"/>
    <x v="20"/>
    <x v="173"/>
    <x v="12"/>
    <s v="Anne Dodsworth"/>
    <s v="Norske Meierier"/>
    <x v="1"/>
    <s v="Venezuela"/>
    <s v="Táchira"/>
    <s v="San Cristóbal"/>
    <n v="36"/>
    <n v="30"/>
  </r>
  <r>
    <s v="1035"/>
    <x v="20"/>
    <x v="169"/>
    <x v="19"/>
    <s v="Margaret Peacock"/>
    <s v="Svensk Sjöföda AB"/>
    <x v="0"/>
    <s v="Venezuela"/>
    <s v="Táchira"/>
    <s v="San Cristóbal"/>
    <n v="19"/>
    <n v="15"/>
  </r>
  <r>
    <s v="1035"/>
    <x v="20"/>
    <x v="12"/>
    <x v="32"/>
    <s v="Janet Leverling"/>
    <s v="Specialty Biscuits, Ltd."/>
    <x v="1"/>
    <s v="Venezuela"/>
    <s v="Táchira"/>
    <s v="San Cristóbal"/>
    <n v="12.5"/>
    <n v="20"/>
  </r>
  <r>
    <s v="1035"/>
    <x v="20"/>
    <x v="92"/>
    <x v="15"/>
    <s v="Steven Buchanan"/>
    <s v="Pavlova, Ltd."/>
    <x v="1"/>
    <s v="Venezuela"/>
    <s v="Táchira"/>
    <s v="San Cristóbal"/>
    <n v="39"/>
    <n v="15"/>
  </r>
  <r>
    <s v="1035"/>
    <x v="20"/>
    <x v="166"/>
    <x v="22"/>
    <s v="Nancy Davolio"/>
    <s v="Pasta Buttini s.r.l."/>
    <x v="0"/>
    <s v="Venezuela"/>
    <s v="Táchira"/>
    <s v="San Cristóbal"/>
    <n v="38"/>
    <n v="20"/>
  </r>
  <r>
    <s v="1035"/>
    <x v="20"/>
    <x v="171"/>
    <x v="49"/>
    <s v="Janet Leverling"/>
    <s v="Karkki Oy"/>
    <x v="0"/>
    <s v="Venezuela"/>
    <s v="Táchira"/>
    <s v="San Cristóbal"/>
    <n v="16"/>
    <n v="40"/>
  </r>
  <r>
    <s v="1035"/>
    <x v="20"/>
    <x v="171"/>
    <x v="44"/>
    <s v="Janet Leverling"/>
    <s v="Aux joyeux ecclésiastiques"/>
    <x v="0"/>
    <s v="Venezuela"/>
    <s v="Táchira"/>
    <s v="San Cristóbal"/>
    <n v="14.4"/>
    <n v="42"/>
  </r>
  <r>
    <s v="1035"/>
    <x v="20"/>
    <x v="167"/>
    <x v="60"/>
    <s v="Nancy Davolio"/>
    <s v="Formaggi Fortini s.r.l."/>
    <x v="1"/>
    <s v="Venezuela"/>
    <s v="Táchira"/>
    <s v="San Cristóbal"/>
    <n v="12.5"/>
    <n v="35"/>
  </r>
  <r>
    <s v="1035"/>
    <x v="20"/>
    <x v="12"/>
    <x v="54"/>
    <s v="Janet Leverling"/>
    <s v="Mayumi's"/>
    <x v="1"/>
    <s v="Venezuela"/>
    <s v="Táchira"/>
    <s v="San Cristóbal"/>
    <n v="6"/>
    <n v="40"/>
  </r>
  <r>
    <s v="1035"/>
    <x v="20"/>
    <x v="12"/>
    <x v="39"/>
    <s v="Janet Leverling"/>
    <s v="New Orleans Cajun Delights"/>
    <x v="1"/>
    <s v="Venezuela"/>
    <s v="Táchira"/>
    <s v="San Cristóbal"/>
    <n v="21.05"/>
    <n v="21"/>
  </r>
  <r>
    <s v="1035"/>
    <x v="20"/>
    <x v="173"/>
    <x v="23"/>
    <s v="Anne Dodsworth"/>
    <s v="Specialty Biscuits, Ltd."/>
    <x v="1"/>
    <s v="Venezuela"/>
    <s v="Táchira"/>
    <s v="San Cristóbal"/>
    <n v="9.1999999999999993"/>
    <n v="35"/>
  </r>
  <r>
    <s v="1013"/>
    <x v="21"/>
    <x v="174"/>
    <x v="58"/>
    <s v="Margaret Peacock"/>
    <s v="Svensk Sjöföda AB"/>
    <x v="0"/>
    <s v="Mexico"/>
    <m/>
    <s v="México D.F."/>
    <n v="20.8"/>
    <n v="1"/>
  </r>
  <r>
    <s v="1013"/>
    <x v="21"/>
    <x v="174"/>
    <x v="7"/>
    <s v="Margaret Peacock"/>
    <s v="Specialty Biscuits, Ltd."/>
    <x v="0"/>
    <s v="Mexico"/>
    <m/>
    <s v="México D.F."/>
    <n v="8"/>
    <n v="10"/>
  </r>
  <r>
    <s v="1051"/>
    <x v="22"/>
    <x v="175"/>
    <x v="63"/>
    <s v="Steven Buchanan"/>
    <s v="Ma Maison"/>
    <x v="0"/>
    <s v="Canada"/>
    <s v="Québec"/>
    <s v="Montréal"/>
    <n v="24"/>
    <n v="14"/>
  </r>
  <r>
    <s v="1051"/>
    <x v="22"/>
    <x v="176"/>
    <x v="65"/>
    <s v="Margaret Peacock"/>
    <s v="Heli Süßwaren GmbH &amp; Co. KG"/>
    <x v="1"/>
    <s v="Canada"/>
    <s v="Québec"/>
    <s v="Montréal"/>
    <n v="43.9"/>
    <n v="40"/>
  </r>
  <r>
    <s v="1051"/>
    <x v="22"/>
    <x v="176"/>
    <x v="38"/>
    <s v="Margaret Peacock"/>
    <s v="Leka Trading"/>
    <x v="1"/>
    <s v="Canada"/>
    <s v="Québec"/>
    <s v="Montréal"/>
    <n v="46"/>
    <n v="30"/>
  </r>
  <r>
    <s v="1051"/>
    <x v="22"/>
    <x v="116"/>
    <x v="5"/>
    <s v="Janet Leverling"/>
    <s v="Heli Süßwaren GmbH &amp; Co. KG"/>
    <x v="1"/>
    <s v="Canada"/>
    <s v="Québec"/>
    <s v="Montréal"/>
    <n v="31.23"/>
    <n v="6"/>
  </r>
  <r>
    <s v="1051"/>
    <x v="22"/>
    <x v="175"/>
    <x v="12"/>
    <s v="Steven Buchanan"/>
    <s v="Norske Meierier"/>
    <x v="0"/>
    <s v="Canada"/>
    <s v="Québec"/>
    <s v="Montréal"/>
    <n v="36"/>
    <n v="10"/>
  </r>
  <r>
    <s v="1051"/>
    <x v="22"/>
    <x v="116"/>
    <x v="40"/>
    <s v="Janet Leverling"/>
    <s v="Karkki Oy"/>
    <x v="1"/>
    <s v="Canada"/>
    <s v="Québec"/>
    <s v="Montréal"/>
    <n v="18"/>
    <n v="6"/>
  </r>
  <r>
    <s v="1051"/>
    <x v="22"/>
    <x v="175"/>
    <x v="32"/>
    <s v="Steven Buchanan"/>
    <s v="Specialty Biscuits, Ltd."/>
    <x v="0"/>
    <s v="Canada"/>
    <s v="Québec"/>
    <s v="Montréal"/>
    <n v="12.5"/>
    <n v="20"/>
  </r>
  <r>
    <s v="1051"/>
    <x v="22"/>
    <x v="176"/>
    <x v="52"/>
    <s v="Margaret Peacock"/>
    <s v="Heli Süßwaren GmbH &amp; Co. KG"/>
    <x v="1"/>
    <s v="Canada"/>
    <s v="Québec"/>
    <s v="Montréal"/>
    <n v="14"/>
    <n v="12"/>
  </r>
  <r>
    <s v="1051"/>
    <x v="22"/>
    <x v="177"/>
    <x v="76"/>
    <s v="Anne Dodsworth"/>
    <s v="New England Seafood Cannery"/>
    <x v="1"/>
    <s v="Canada"/>
    <s v="Québec"/>
    <s v="Montréal"/>
    <n v="18.399999999999999"/>
    <n v="10"/>
  </r>
  <r>
    <s v="1051"/>
    <x v="22"/>
    <x v="41"/>
    <x v="31"/>
    <s v="Steven Buchanan"/>
    <s v="Plutzer Lebensmittelgroßmärkte AG"/>
    <x v="0"/>
    <s v="Canada"/>
    <s v="Québec"/>
    <s v="Montréal"/>
    <n v="45.6"/>
    <n v="20"/>
  </r>
  <r>
    <s v="1051"/>
    <x v="22"/>
    <x v="41"/>
    <x v="30"/>
    <s v="Steven Buchanan"/>
    <s v="Formaggi Fortini s.r.l."/>
    <x v="0"/>
    <s v="Canada"/>
    <s v="Québec"/>
    <s v="Montréal"/>
    <n v="34.799999999999997"/>
    <n v="15"/>
  </r>
  <r>
    <s v="1051"/>
    <x v="22"/>
    <x v="178"/>
    <x v="21"/>
    <s v="Robert King"/>
    <s v="Lyngbysild"/>
    <x v="1"/>
    <s v="Canada"/>
    <s v="Québec"/>
    <s v="Montréal"/>
    <n v="9.5"/>
    <n v="15"/>
  </r>
  <r>
    <s v="1051"/>
    <x v="22"/>
    <x v="179"/>
    <x v="17"/>
    <s v="Margaret Peacock"/>
    <s v="Gai pâturage"/>
    <x v="1"/>
    <s v="Canada"/>
    <s v="Québec"/>
    <s v="Montréal"/>
    <n v="55"/>
    <n v="40"/>
  </r>
  <r>
    <s v="1051"/>
    <x v="22"/>
    <x v="178"/>
    <x v="22"/>
    <s v="Robert King"/>
    <s v="Pasta Buttini s.r.l."/>
    <x v="1"/>
    <s v="Canada"/>
    <s v="Québec"/>
    <s v="Montréal"/>
    <n v="38"/>
    <n v="16"/>
  </r>
  <r>
    <s v="1051"/>
    <x v="22"/>
    <x v="177"/>
    <x v="2"/>
    <s v="Anne Dodsworth"/>
    <s v="Grandma Kelly's Homestead"/>
    <x v="1"/>
    <s v="Canada"/>
    <s v="Québec"/>
    <s v="Montréal"/>
    <n v="40"/>
    <n v="20"/>
  </r>
  <r>
    <s v="1051"/>
    <x v="22"/>
    <x v="177"/>
    <x v="7"/>
    <s v="Anne Dodsworth"/>
    <s v="Specialty Biscuits, Ltd."/>
    <x v="1"/>
    <s v="Canada"/>
    <s v="Québec"/>
    <s v="Montréal"/>
    <n v="10"/>
    <n v="40"/>
  </r>
  <r>
    <s v="1051"/>
    <x v="22"/>
    <x v="177"/>
    <x v="29"/>
    <s v="Anne Dodsworth"/>
    <s v="Leka Trading"/>
    <x v="1"/>
    <s v="Canada"/>
    <s v="Québec"/>
    <s v="Montréal"/>
    <n v="19.45"/>
    <n v="6"/>
  </r>
  <r>
    <s v="1006"/>
    <x v="23"/>
    <x v="38"/>
    <x v="35"/>
    <s v="Anne Dodsworth"/>
    <s v="Gai pâturage"/>
    <x v="1"/>
    <s v="Germany"/>
    <m/>
    <s v="Mannheim"/>
    <n v="34"/>
    <n v="21"/>
  </r>
  <r>
    <s v="1006"/>
    <x v="23"/>
    <x v="180"/>
    <x v="34"/>
    <s v="Michael Suyama"/>
    <s v="G'day, Mate"/>
    <x v="1"/>
    <s v="Germany"/>
    <m/>
    <s v="Mannheim"/>
    <n v="53"/>
    <n v="8"/>
  </r>
  <r>
    <s v="1006"/>
    <x v="23"/>
    <x v="38"/>
    <x v="7"/>
    <s v="Anne Dodsworth"/>
    <s v="Specialty Biscuits, Ltd."/>
    <x v="1"/>
    <s v="Germany"/>
    <m/>
    <s v="Mannheim"/>
    <n v="10"/>
    <n v="3"/>
  </r>
  <r>
    <s v="1006"/>
    <x v="23"/>
    <x v="180"/>
    <x v="72"/>
    <s v="Michael Suyama"/>
    <s v="Zaanse Snoepfabriek"/>
    <x v="1"/>
    <s v="Germany"/>
    <m/>
    <s v="Mannheim"/>
    <n v="9.5"/>
    <n v="14"/>
  </r>
  <r>
    <s v="1006"/>
    <x v="23"/>
    <x v="180"/>
    <x v="7"/>
    <s v="Michael Suyama"/>
    <s v="Specialty Biscuits, Ltd."/>
    <x v="1"/>
    <s v="Germany"/>
    <m/>
    <s v="Mannheim"/>
    <n v="10"/>
    <n v="12"/>
  </r>
  <r>
    <s v="1006"/>
    <x v="23"/>
    <x v="181"/>
    <x v="11"/>
    <s v="Anne Dodsworth"/>
    <s v="Pavlova, Ltd."/>
    <x v="1"/>
    <s v="Germany"/>
    <m/>
    <s v="Mannheim"/>
    <n v="62.5"/>
    <n v="10"/>
  </r>
  <r>
    <s v="1006"/>
    <x v="23"/>
    <x v="157"/>
    <x v="44"/>
    <s v="Laura Callahan"/>
    <s v="Aux joyeux ecclésiastiques"/>
    <x v="0"/>
    <s v="Germany"/>
    <m/>
    <s v="Mannheim"/>
    <n v="18"/>
    <n v="5"/>
  </r>
  <r>
    <s v="1006"/>
    <x v="23"/>
    <x v="38"/>
    <x v="4"/>
    <s v="Anne Dodsworth"/>
    <s v="Forêts d'érables"/>
    <x v="1"/>
    <s v="Germany"/>
    <m/>
    <s v="Mannheim"/>
    <n v="28.5"/>
    <n v="4"/>
  </r>
  <r>
    <s v="1006"/>
    <x v="23"/>
    <x v="157"/>
    <x v="7"/>
    <s v="Laura Callahan"/>
    <s v="Specialty Biscuits, Ltd."/>
    <x v="0"/>
    <s v="Germany"/>
    <m/>
    <s v="Mannheim"/>
    <n v="10"/>
    <n v="8"/>
  </r>
  <r>
    <s v="1006"/>
    <x v="23"/>
    <x v="182"/>
    <x v="31"/>
    <s v="Margaret Peacock"/>
    <s v="Plutzer Lebensmittelgroßmärkte AG"/>
    <x v="0"/>
    <s v="Germany"/>
    <m/>
    <s v="Mannheim"/>
    <n v="45.6"/>
    <n v="3"/>
  </r>
  <r>
    <s v="1006"/>
    <x v="23"/>
    <x v="183"/>
    <x v="53"/>
    <s v="Janet Leverling"/>
    <s v="Pasta Buttini s.r.l."/>
    <x v="0"/>
    <s v="Germany"/>
    <m/>
    <s v="Mannheim"/>
    <n v="19.5"/>
    <n v="4"/>
  </r>
  <r>
    <s v="1006"/>
    <x v="23"/>
    <x v="183"/>
    <x v="40"/>
    <s v="Janet Leverling"/>
    <s v="Karkki Oy"/>
    <x v="0"/>
    <s v="Germany"/>
    <m/>
    <s v="Mannheim"/>
    <n v="18"/>
    <n v="14"/>
  </r>
  <r>
    <s v="1006"/>
    <x v="23"/>
    <x v="184"/>
    <x v="0"/>
    <s v="Anne Dodsworth"/>
    <s v="Ma Maison"/>
    <x v="0"/>
    <s v="Germany"/>
    <m/>
    <s v="Mannheim"/>
    <n v="7.45"/>
    <n v="20"/>
  </r>
  <r>
    <s v="1006"/>
    <x v="23"/>
    <x v="157"/>
    <x v="56"/>
    <s v="Laura Callahan"/>
    <s v="Las Cabras"/>
    <x v="0"/>
    <s v="Germany"/>
    <m/>
    <s v="Mannheim"/>
    <n v="21"/>
    <n v="14"/>
  </r>
  <r>
    <s v="1015"/>
    <x v="24"/>
    <x v="77"/>
    <x v="4"/>
    <s v="Andrew Fuller"/>
    <s v="Forêts d'érables"/>
    <x v="1"/>
    <s v="Brazil"/>
    <s v="SP"/>
    <s v="São Paulo"/>
    <n v="28.5"/>
    <n v="4"/>
  </r>
  <r>
    <s v="1015"/>
    <x v="24"/>
    <x v="77"/>
    <x v="29"/>
    <s v="Andrew Fuller"/>
    <s v="Leka Trading"/>
    <x v="1"/>
    <s v="Brazil"/>
    <s v="SP"/>
    <s v="São Paulo"/>
    <n v="19.45"/>
    <n v="15"/>
  </r>
  <r>
    <s v="1015"/>
    <x v="24"/>
    <x v="185"/>
    <x v="37"/>
    <s v="Laura Callahan"/>
    <s v="Plutzer Lebensmittelgroßmärkte AG"/>
    <x v="0"/>
    <s v="Brazil"/>
    <s v="SP"/>
    <s v="São Paulo"/>
    <n v="99"/>
    <n v="15"/>
  </r>
  <r>
    <s v="1015"/>
    <x v="24"/>
    <x v="186"/>
    <x v="26"/>
    <s v="Margaret Peacock"/>
    <s v="Lyngbysild"/>
    <x v="0"/>
    <s v="Brazil"/>
    <s v="SP"/>
    <s v="São Paulo"/>
    <n v="9.6"/>
    <n v="5"/>
  </r>
  <r>
    <s v="1015"/>
    <x v="24"/>
    <x v="186"/>
    <x v="56"/>
    <s v="Margaret Peacock"/>
    <s v="Las Cabras"/>
    <x v="0"/>
    <s v="Brazil"/>
    <s v="SP"/>
    <s v="São Paulo"/>
    <n v="16.8"/>
    <n v="10"/>
  </r>
  <r>
    <s v="1015"/>
    <x v="24"/>
    <x v="185"/>
    <x v="49"/>
    <s v="Laura Callahan"/>
    <s v="Karkki Oy"/>
    <x v="0"/>
    <s v="Brazil"/>
    <s v="SP"/>
    <s v="São Paulo"/>
    <n v="16"/>
    <n v="15"/>
  </r>
  <r>
    <s v="1015"/>
    <x v="24"/>
    <x v="185"/>
    <x v="16"/>
    <s v="Laura Callahan"/>
    <s v="Plutzer Lebensmittelgroßmärkte AG"/>
    <x v="0"/>
    <s v="Brazil"/>
    <s v="SP"/>
    <s v="São Paulo"/>
    <n v="10.4"/>
    <n v="10"/>
  </r>
  <r>
    <s v="1015"/>
    <x v="24"/>
    <x v="187"/>
    <x v="22"/>
    <s v="Margaret Peacock"/>
    <s v="Pasta Buttini s.r.l."/>
    <x v="0"/>
    <s v="Brazil"/>
    <s v="SP"/>
    <s v="São Paulo"/>
    <n v="30.4"/>
    <n v="30"/>
  </r>
  <r>
    <s v="1015"/>
    <x v="24"/>
    <x v="188"/>
    <x v="26"/>
    <s v="Nancy Davolio"/>
    <s v="Lyngbysild"/>
    <x v="1"/>
    <s v="Brazil"/>
    <s v="SP"/>
    <s v="São Paulo"/>
    <n v="12"/>
    <n v="9"/>
  </r>
  <r>
    <s v="1015"/>
    <x v="24"/>
    <x v="185"/>
    <x v="64"/>
    <s v="Laura Callahan"/>
    <s v="New Orleans Cajun Delights"/>
    <x v="0"/>
    <s v="Brazil"/>
    <s v="SP"/>
    <s v="São Paulo"/>
    <n v="17"/>
    <n v="20"/>
  </r>
  <r>
    <s v="1056"/>
    <x v="25"/>
    <x v="189"/>
    <x v="65"/>
    <s v="Janet Leverling"/>
    <s v="Heli Süßwaren GmbH &amp; Co. KG"/>
    <x v="0"/>
    <s v="Germany"/>
    <m/>
    <s v="Köln"/>
    <n v="35.1"/>
    <n v="50"/>
  </r>
  <r>
    <s v="1056"/>
    <x v="25"/>
    <x v="190"/>
    <x v="25"/>
    <s v="Janet Leverling"/>
    <s v="Escargots Nouveaux"/>
    <x v="0"/>
    <s v="Germany"/>
    <m/>
    <s v="Köln"/>
    <n v="13.25"/>
    <n v="30"/>
  </r>
  <r>
    <s v="1056"/>
    <x v="25"/>
    <x v="80"/>
    <x v="40"/>
    <s v="Andrew Fuller"/>
    <s v="Karkki Oy"/>
    <x v="1"/>
    <s v="Germany"/>
    <m/>
    <s v="Köln"/>
    <n v="18"/>
    <n v="50"/>
  </r>
  <r>
    <s v="1056"/>
    <x v="25"/>
    <x v="75"/>
    <x v="34"/>
    <s v="Michael Suyama"/>
    <s v="G'day, Mate"/>
    <x v="1"/>
    <s v="Germany"/>
    <m/>
    <s v="Köln"/>
    <n v="53"/>
    <n v="16"/>
  </r>
  <r>
    <s v="1056"/>
    <x v="25"/>
    <x v="91"/>
    <x v="60"/>
    <s v="Nancy Davolio"/>
    <s v="Formaggi Fortini s.r.l."/>
    <x v="0"/>
    <s v="Germany"/>
    <m/>
    <s v="Köln"/>
    <n v="12.5"/>
    <n v="20"/>
  </r>
  <r>
    <s v="1056"/>
    <x v="25"/>
    <x v="91"/>
    <x v="45"/>
    <s v="Nancy Davolio"/>
    <s v="Leka Trading"/>
    <x v="0"/>
    <s v="Germany"/>
    <m/>
    <s v="Köln"/>
    <n v="14"/>
    <n v="40"/>
  </r>
  <r>
    <s v="1056"/>
    <x v="25"/>
    <x v="191"/>
    <x v="4"/>
    <s v="Laura Callahan"/>
    <s v="Forêts d'érables"/>
    <x v="1"/>
    <s v="Germany"/>
    <m/>
    <s v="Köln"/>
    <n v="28.5"/>
    <n v="6"/>
  </r>
  <r>
    <s v="1056"/>
    <x v="25"/>
    <x v="190"/>
    <x v="50"/>
    <s v="Janet Leverling"/>
    <s v="G'day, Mate"/>
    <x v="0"/>
    <s v="Germany"/>
    <m/>
    <s v="Köln"/>
    <n v="7"/>
    <n v="24"/>
  </r>
  <r>
    <s v="1056"/>
    <x v="25"/>
    <x v="181"/>
    <x v="1"/>
    <s v="Janet Leverling"/>
    <s v="Pavlova, Ltd."/>
    <x v="1"/>
    <s v="Germany"/>
    <m/>
    <s v="Köln"/>
    <n v="17.45"/>
    <n v="50"/>
  </r>
  <r>
    <s v="1056"/>
    <x v="25"/>
    <x v="192"/>
    <x v="44"/>
    <s v="Laura Callahan"/>
    <s v="Aux joyeux ecclésiastiques"/>
    <x v="0"/>
    <s v="Germany"/>
    <m/>
    <s v="Köln"/>
    <n v="14.4"/>
    <n v="30"/>
  </r>
  <r>
    <s v="1056"/>
    <x v="25"/>
    <x v="192"/>
    <x v="37"/>
    <s v="Laura Callahan"/>
    <s v="Plutzer Lebensmittelgroßmärkte AG"/>
    <x v="0"/>
    <s v="Germany"/>
    <m/>
    <s v="Köln"/>
    <n v="99"/>
    <n v="25"/>
  </r>
  <r>
    <s v="1056"/>
    <x v="25"/>
    <x v="192"/>
    <x v="11"/>
    <s v="Laura Callahan"/>
    <s v="Pavlova, Ltd."/>
    <x v="0"/>
    <s v="Germany"/>
    <m/>
    <s v="Köln"/>
    <n v="50"/>
    <n v="25"/>
  </r>
  <r>
    <s v="1056"/>
    <x v="25"/>
    <x v="80"/>
    <x v="22"/>
    <s v="Andrew Fuller"/>
    <s v="Pasta Buttini s.r.l."/>
    <x v="1"/>
    <s v="Germany"/>
    <m/>
    <s v="Köln"/>
    <n v="38"/>
    <n v="20"/>
  </r>
  <r>
    <s v="1056"/>
    <x v="25"/>
    <x v="181"/>
    <x v="39"/>
    <s v="Janet Leverling"/>
    <s v="New Orleans Cajun Delights"/>
    <x v="1"/>
    <s v="Germany"/>
    <m/>
    <s v="Köln"/>
    <n v="21.05"/>
    <n v="15"/>
  </r>
  <r>
    <s v="1056"/>
    <x v="25"/>
    <x v="193"/>
    <x v="33"/>
    <s v="Margaret Peacock"/>
    <s v="Nord-Ost-Fisch Handelsgesellschaft mbH"/>
    <x v="0"/>
    <s v="Germany"/>
    <m/>
    <s v="Köln"/>
    <n v="20.7"/>
    <n v="15"/>
  </r>
  <r>
    <s v="1056"/>
    <x v="25"/>
    <x v="181"/>
    <x v="60"/>
    <s v="Janet Leverling"/>
    <s v="Formaggi Fortini s.r.l."/>
    <x v="1"/>
    <s v="Germany"/>
    <m/>
    <s v="Köln"/>
    <n v="12.5"/>
    <n v="14"/>
  </r>
  <r>
    <s v="1056"/>
    <x v="25"/>
    <x v="81"/>
    <x v="38"/>
    <s v="Laura Callahan"/>
    <s v="Leka Trading"/>
    <x v="0"/>
    <s v="Germany"/>
    <m/>
    <s v="Köln"/>
    <n v="46"/>
    <n v="24"/>
  </r>
  <r>
    <s v="1056"/>
    <x v="25"/>
    <x v="81"/>
    <x v="17"/>
    <s v="Laura Callahan"/>
    <s v="Gai pâturage"/>
    <x v="0"/>
    <s v="Germany"/>
    <m/>
    <s v="Köln"/>
    <n v="55"/>
    <n v="8"/>
  </r>
  <r>
    <s v="1056"/>
    <x v="25"/>
    <x v="191"/>
    <x v="7"/>
    <s v="Laura Callahan"/>
    <s v="Specialty Biscuits, Ltd."/>
    <x v="1"/>
    <s v="Germany"/>
    <m/>
    <s v="Köln"/>
    <n v="10"/>
    <n v="15"/>
  </r>
  <r>
    <s v="1056"/>
    <x v="25"/>
    <x v="193"/>
    <x v="15"/>
    <s v="Margaret Peacock"/>
    <s v="Pavlova, Ltd."/>
    <x v="0"/>
    <s v="Germany"/>
    <m/>
    <s v="Köln"/>
    <n v="31.2"/>
    <n v="20"/>
  </r>
  <r>
    <s v="1056"/>
    <x v="25"/>
    <x v="91"/>
    <x v="1"/>
    <s v="Nancy Davolio"/>
    <s v="Pavlova, Ltd."/>
    <x v="0"/>
    <s v="Germany"/>
    <m/>
    <s v="Köln"/>
    <n v="17.45"/>
    <n v="50"/>
  </r>
  <r>
    <s v="1056"/>
    <x v="25"/>
    <x v="191"/>
    <x v="29"/>
    <s v="Laura Callahan"/>
    <s v="Leka Trading"/>
    <x v="1"/>
    <s v="Germany"/>
    <m/>
    <s v="Köln"/>
    <n v="19.45"/>
    <n v="12"/>
  </r>
  <r>
    <s v="1056"/>
    <x v="25"/>
    <x v="81"/>
    <x v="1"/>
    <s v="Laura Callahan"/>
    <s v="Pavlova, Ltd."/>
    <x v="0"/>
    <s v="Germany"/>
    <m/>
    <s v="Köln"/>
    <n v="17.45"/>
    <n v="20"/>
  </r>
  <r>
    <s v="1056"/>
    <x v="25"/>
    <x v="181"/>
    <x v="22"/>
    <s v="Janet Leverling"/>
    <s v="Pasta Buttini s.r.l."/>
    <x v="1"/>
    <s v="Germany"/>
    <m/>
    <s v="Köln"/>
    <n v="38"/>
    <n v="24"/>
  </r>
  <r>
    <s v="1002"/>
    <x v="26"/>
    <x v="194"/>
    <x v="61"/>
    <s v="Janet Leverling"/>
    <s v="Formaggi Fortini s.r.l."/>
    <x v="1"/>
    <s v="Mexico"/>
    <m/>
    <s v="México D.F."/>
    <n v="32"/>
    <n v="10"/>
  </r>
  <r>
    <s v="1002"/>
    <x v="26"/>
    <x v="195"/>
    <x v="12"/>
    <s v="Robert King"/>
    <s v="Norske Meierier"/>
    <x v="0"/>
    <s v="Mexico"/>
    <m/>
    <s v="México D.F."/>
    <n v="28.8"/>
    <n v="1"/>
  </r>
  <r>
    <s v="1002"/>
    <x v="26"/>
    <x v="195"/>
    <x v="47"/>
    <s v="Robert King"/>
    <s v="Pavlova, Ltd."/>
    <x v="0"/>
    <s v="Mexico"/>
    <m/>
    <s v="México D.F."/>
    <n v="12"/>
    <n v="5"/>
  </r>
  <r>
    <s v="1002"/>
    <x v="26"/>
    <x v="172"/>
    <x v="23"/>
    <s v="Margaret Peacock"/>
    <s v="Specialty Biscuits, Ltd."/>
    <x v="1"/>
    <s v="Mexico"/>
    <m/>
    <s v="México D.F."/>
    <n v="9.1999999999999993"/>
    <n v="7"/>
  </r>
  <r>
    <s v="1002"/>
    <x v="26"/>
    <x v="172"/>
    <x v="56"/>
    <s v="Margaret Peacock"/>
    <s v="Las Cabras"/>
    <x v="1"/>
    <s v="Mexico"/>
    <m/>
    <s v="México D.F."/>
    <n v="21"/>
    <n v="2"/>
  </r>
  <r>
    <s v="1002"/>
    <x v="26"/>
    <x v="196"/>
    <x v="35"/>
    <s v="Janet Leverling"/>
    <s v="Gai pâturage"/>
    <x v="0"/>
    <s v="Mexico"/>
    <m/>
    <s v="México D.F."/>
    <n v="34"/>
    <n v="10"/>
  </r>
  <r>
    <s v="1002"/>
    <x v="26"/>
    <x v="196"/>
    <x v="45"/>
    <s v="Janet Leverling"/>
    <s v="Leka Trading"/>
    <x v="0"/>
    <s v="Mexico"/>
    <m/>
    <s v="México D.F."/>
    <n v="14"/>
    <n v="5"/>
  </r>
  <r>
    <s v="1002"/>
    <x v="26"/>
    <x v="196"/>
    <x v="68"/>
    <s v="Janet Leverling"/>
    <s v="Mayumi's"/>
    <x v="0"/>
    <s v="Mexico"/>
    <m/>
    <s v="México D.F."/>
    <n v="23.25"/>
    <n v="3"/>
  </r>
  <r>
    <s v="1002"/>
    <x v="26"/>
    <x v="172"/>
    <x v="54"/>
    <s v="Margaret Peacock"/>
    <s v="Mayumi's"/>
    <x v="1"/>
    <s v="Mexico"/>
    <m/>
    <s v="México D.F."/>
    <n v="6"/>
    <n v="10"/>
  </r>
  <r>
    <s v="1002"/>
    <x v="26"/>
    <x v="172"/>
    <x v="30"/>
    <s v="Margaret Peacock"/>
    <s v="Formaggi Fortini s.r.l."/>
    <x v="1"/>
    <s v="Mexico"/>
    <m/>
    <s v="México D.F."/>
    <n v="34.799999999999997"/>
    <n v="10"/>
  </r>
  <r>
    <s v="1040"/>
    <x v="27"/>
    <x v="197"/>
    <x v="47"/>
    <s v="Anne Dodsworth"/>
    <s v="Pavlova, Ltd."/>
    <x v="0"/>
    <s v="France"/>
    <m/>
    <s v="Versailles"/>
    <n v="15"/>
    <n v="14"/>
  </r>
  <r>
    <s v="1040"/>
    <x v="27"/>
    <x v="198"/>
    <x v="33"/>
    <s v="Janet Leverling"/>
    <s v="Nord-Ost-Fisch Handelsgesellschaft mbH"/>
    <x v="0"/>
    <s v="France"/>
    <m/>
    <s v="Versailles"/>
    <n v="20.7"/>
    <n v="8"/>
  </r>
  <r>
    <s v="1040"/>
    <x v="27"/>
    <x v="199"/>
    <x v="19"/>
    <s v="Anne Dodsworth"/>
    <s v="Svensk Sjöföda AB"/>
    <x v="1"/>
    <s v="France"/>
    <m/>
    <s v="Versailles"/>
    <n v="19"/>
    <n v="20"/>
  </r>
  <r>
    <s v="1040"/>
    <x v="27"/>
    <x v="198"/>
    <x v="38"/>
    <s v="Janet Leverling"/>
    <s v="Leka Trading"/>
    <x v="0"/>
    <s v="France"/>
    <m/>
    <s v="Versailles"/>
    <n v="36.799999999999997"/>
    <n v="15"/>
  </r>
  <r>
    <s v="1040"/>
    <x v="27"/>
    <x v="199"/>
    <x v="37"/>
    <s v="Anne Dodsworth"/>
    <s v="Plutzer Lebensmittelgroßmärkte AG"/>
    <x v="1"/>
    <s v="France"/>
    <m/>
    <s v="Versailles"/>
    <n v="123.79"/>
    <n v="24"/>
  </r>
  <r>
    <s v="1040"/>
    <x v="27"/>
    <x v="199"/>
    <x v="41"/>
    <s v="Anne Dodsworth"/>
    <s v="Refrescos Americanas LTDA"/>
    <x v="1"/>
    <s v="France"/>
    <m/>
    <s v="Versailles"/>
    <n v="4.5"/>
    <n v="10"/>
  </r>
  <r>
    <s v="1040"/>
    <x v="27"/>
    <x v="199"/>
    <x v="2"/>
    <s v="Anne Dodsworth"/>
    <s v="Grandma Kelly's Homestead"/>
    <x v="1"/>
    <s v="France"/>
    <m/>
    <s v="Versailles"/>
    <n v="40"/>
    <n v="30"/>
  </r>
  <r>
    <s v="1040"/>
    <x v="27"/>
    <x v="200"/>
    <x v="0"/>
    <s v="Nancy Davolio"/>
    <s v="Ma Maison"/>
    <x v="0"/>
    <s v="France"/>
    <m/>
    <s v="Versailles"/>
    <n v="7.45"/>
    <n v="24"/>
  </r>
  <r>
    <s v="1040"/>
    <x v="27"/>
    <x v="201"/>
    <x v="9"/>
    <s v="Janet Leverling"/>
    <s v="Forêts d'érables"/>
    <x v="1"/>
    <s v="France"/>
    <m/>
    <s v="Versailles"/>
    <n v="49.3"/>
    <n v="25"/>
  </r>
  <r>
    <s v="1040"/>
    <x v="27"/>
    <x v="201"/>
    <x v="76"/>
    <s v="Janet Leverling"/>
    <s v="New England Seafood Cannery"/>
    <x v="1"/>
    <s v="France"/>
    <m/>
    <s v="Versailles"/>
    <n v="18.399999999999999"/>
    <n v="60"/>
  </r>
  <r>
    <s v="1040"/>
    <x v="27"/>
    <x v="201"/>
    <x v="18"/>
    <s v="Janet Leverling"/>
    <s v="Aux joyeux ecclésiastiques"/>
    <x v="1"/>
    <s v="France"/>
    <m/>
    <s v="Versailles"/>
    <n v="263.5"/>
    <n v="30"/>
  </r>
  <r>
    <s v="1040"/>
    <x v="27"/>
    <x v="201"/>
    <x v="5"/>
    <s v="Janet Leverling"/>
    <s v="Heli Süßwaren GmbH &amp; Co. KG"/>
    <x v="1"/>
    <s v="France"/>
    <m/>
    <s v="Versailles"/>
    <n v="31.23"/>
    <n v="40"/>
  </r>
  <r>
    <s v="1040"/>
    <x v="27"/>
    <x v="199"/>
    <x v="33"/>
    <s v="Anne Dodsworth"/>
    <s v="Nord-Ost-Fisch Handelsgesellschaft mbH"/>
    <x v="1"/>
    <s v="France"/>
    <m/>
    <s v="Versailles"/>
    <n v="25.89"/>
    <n v="35"/>
  </r>
  <r>
    <s v="1040"/>
    <x v="27"/>
    <x v="202"/>
    <x v="40"/>
    <s v="Nancy Davolio"/>
    <s v="Karkki Oy"/>
    <x v="0"/>
    <s v="France"/>
    <m/>
    <s v="Versailles"/>
    <n v="18"/>
    <n v="35"/>
  </r>
  <r>
    <s v="1040"/>
    <x v="27"/>
    <x v="14"/>
    <x v="69"/>
    <s v="Nancy Davolio"/>
    <s v="Las Cabras"/>
    <x v="0"/>
    <s v="France"/>
    <m/>
    <s v="Versailles"/>
    <n v="38"/>
    <n v="36"/>
  </r>
  <r>
    <s v="1040"/>
    <x v="27"/>
    <x v="27"/>
    <x v="60"/>
    <s v="Nancy Davolio"/>
    <s v="Formaggi Fortini s.r.l."/>
    <x v="0"/>
    <s v="France"/>
    <m/>
    <s v="Versailles"/>
    <n v="10"/>
    <n v="4"/>
  </r>
  <r>
    <s v="1040"/>
    <x v="27"/>
    <x v="27"/>
    <x v="54"/>
    <s v="Nancy Davolio"/>
    <s v="Mayumi's"/>
    <x v="0"/>
    <s v="France"/>
    <m/>
    <s v="Versailles"/>
    <n v="4.8"/>
    <n v="12"/>
  </r>
  <r>
    <s v="1040"/>
    <x v="27"/>
    <x v="203"/>
    <x v="44"/>
    <s v="Margaret Peacock"/>
    <s v="Aux joyeux ecclésiastiques"/>
    <x v="0"/>
    <s v="France"/>
    <m/>
    <s v="Versailles"/>
    <n v="14.4"/>
    <n v="4"/>
  </r>
  <r>
    <s v="1040"/>
    <x v="27"/>
    <x v="93"/>
    <x v="5"/>
    <s v="Anne Dodsworth"/>
    <s v="Heli Süßwaren GmbH &amp; Co. KG"/>
    <x v="1"/>
    <s v="France"/>
    <m/>
    <s v="Versailles"/>
    <n v="31.23"/>
    <n v="18"/>
  </r>
  <r>
    <s v="1040"/>
    <x v="27"/>
    <x v="93"/>
    <x v="66"/>
    <s v="Anne Dodsworth"/>
    <s v="Exotic Liquids"/>
    <x v="1"/>
    <s v="France"/>
    <m/>
    <s v="Versailles"/>
    <n v="10"/>
    <n v="49"/>
  </r>
  <r>
    <s v="1040"/>
    <x v="27"/>
    <x v="27"/>
    <x v="68"/>
    <s v="Nancy Davolio"/>
    <s v="Mayumi's"/>
    <x v="0"/>
    <s v="France"/>
    <m/>
    <s v="Versailles"/>
    <n v="18.600000000000001"/>
    <n v="9"/>
  </r>
  <r>
    <s v="1040"/>
    <x v="27"/>
    <x v="203"/>
    <x v="75"/>
    <s v="Margaret Peacock"/>
    <s v="Mayumi's"/>
    <x v="0"/>
    <s v="France"/>
    <m/>
    <s v="Versailles"/>
    <n v="12.4"/>
    <n v="5"/>
  </r>
  <r>
    <s v="1040"/>
    <x v="27"/>
    <x v="27"/>
    <x v="70"/>
    <s v="Nancy Davolio"/>
    <s v="Grandma Kelly's Homestead"/>
    <x v="0"/>
    <s v="France"/>
    <m/>
    <s v="Versailles"/>
    <n v="20"/>
    <n v="6"/>
  </r>
  <r>
    <s v="1040"/>
    <x v="27"/>
    <x v="55"/>
    <x v="54"/>
    <s v="Anne Dodsworth"/>
    <s v="Mayumi's"/>
    <x v="1"/>
    <s v="France"/>
    <m/>
    <s v="Versailles"/>
    <n v="6"/>
    <n v="20"/>
  </r>
  <r>
    <s v="1040"/>
    <x v="27"/>
    <x v="204"/>
    <x v="17"/>
    <s v="Andrew Fuller"/>
    <s v="Gai pâturage"/>
    <x v="1"/>
    <s v="France"/>
    <m/>
    <s v="Versailles"/>
    <n v="55"/>
    <n v="24"/>
  </r>
  <r>
    <s v="1040"/>
    <x v="27"/>
    <x v="14"/>
    <x v="9"/>
    <s v="Nancy Davolio"/>
    <s v="Forêts d'érables"/>
    <x v="0"/>
    <s v="France"/>
    <m/>
    <s v="Versailles"/>
    <n v="49.3"/>
    <n v="20"/>
  </r>
  <r>
    <s v="1040"/>
    <x v="27"/>
    <x v="204"/>
    <x v="63"/>
    <s v="Andrew Fuller"/>
    <s v="Ma Maison"/>
    <x v="1"/>
    <s v="France"/>
    <m/>
    <s v="Versailles"/>
    <n v="24"/>
    <n v="35"/>
  </r>
  <r>
    <s v="1040"/>
    <x v="27"/>
    <x v="14"/>
    <x v="1"/>
    <s v="Nancy Davolio"/>
    <s v="Pavlova, Ltd."/>
    <x v="0"/>
    <s v="France"/>
    <m/>
    <s v="Versailles"/>
    <n v="17.45"/>
    <n v="20"/>
  </r>
  <r>
    <s v="1040"/>
    <x v="27"/>
    <x v="202"/>
    <x v="63"/>
    <s v="Nancy Davolio"/>
    <s v="Ma Maison"/>
    <x v="0"/>
    <s v="France"/>
    <m/>
    <s v="Versailles"/>
    <n v="24"/>
    <n v="12"/>
  </r>
  <r>
    <s v="1040"/>
    <x v="27"/>
    <x v="205"/>
    <x v="17"/>
    <s v="Andrew Fuller"/>
    <s v="Gai pâturage"/>
    <x v="0"/>
    <s v="France"/>
    <m/>
    <s v="Versailles"/>
    <n v="44"/>
    <n v="36"/>
  </r>
  <r>
    <s v="1040"/>
    <x v="27"/>
    <x v="200"/>
    <x v="56"/>
    <s v="Nancy Davolio"/>
    <s v="Las Cabras"/>
    <x v="0"/>
    <s v="France"/>
    <m/>
    <s v="Versailles"/>
    <n v="21"/>
    <n v="15"/>
  </r>
  <r>
    <s v="1040"/>
    <x v="27"/>
    <x v="203"/>
    <x v="52"/>
    <s v="Margaret Peacock"/>
    <s v="Heli Süßwaren GmbH &amp; Co. KG"/>
    <x v="0"/>
    <s v="France"/>
    <m/>
    <s v="Versailles"/>
    <n v="11.2"/>
    <n v="4"/>
  </r>
  <r>
    <s v="1040"/>
    <x v="27"/>
    <x v="55"/>
    <x v="41"/>
    <s v="Anne Dodsworth"/>
    <s v="Refrescos Americanas LTDA"/>
    <x v="1"/>
    <s v="France"/>
    <m/>
    <s v="Versailles"/>
    <n v="4.5"/>
    <n v="20"/>
  </r>
  <r>
    <s v="1040"/>
    <x v="27"/>
    <x v="55"/>
    <x v="17"/>
    <s v="Anne Dodsworth"/>
    <s v="Gai pâturage"/>
    <x v="1"/>
    <s v="France"/>
    <m/>
    <s v="Versailles"/>
    <n v="55"/>
    <n v="25"/>
  </r>
  <r>
    <s v="1040"/>
    <x v="27"/>
    <x v="205"/>
    <x v="7"/>
    <s v="Laura Callahan"/>
    <s v="Specialty Biscuits, Ltd."/>
    <x v="0"/>
    <s v="France"/>
    <m/>
    <s v="Versailles"/>
    <n v="8"/>
    <n v="40"/>
  </r>
  <r>
    <s v="1040"/>
    <x v="27"/>
    <x v="197"/>
    <x v="52"/>
    <s v="Anne Dodsworth"/>
    <s v="Heli Süßwaren GmbH &amp; Co. KG"/>
    <x v="0"/>
    <s v="France"/>
    <m/>
    <s v="Versailles"/>
    <n v="14"/>
    <n v="18"/>
  </r>
  <r>
    <s v="1040"/>
    <x v="27"/>
    <x v="14"/>
    <x v="19"/>
    <s v="Nancy Davolio"/>
    <s v="Svensk Sjöföda AB"/>
    <x v="0"/>
    <s v="France"/>
    <m/>
    <s v="Versailles"/>
    <n v="19"/>
    <n v="40"/>
  </r>
  <r>
    <s v="1040"/>
    <x v="27"/>
    <x v="27"/>
    <x v="30"/>
    <s v="Nancy Davolio"/>
    <s v="Formaggi Fortini s.r.l."/>
    <x v="0"/>
    <s v="France"/>
    <m/>
    <s v="Versailles"/>
    <n v="27.8"/>
    <n v="40"/>
  </r>
  <r>
    <s v="1040"/>
    <x v="27"/>
    <x v="205"/>
    <x v="49"/>
    <s v="Laura Callahan"/>
    <s v="Karkki Oy"/>
    <x v="0"/>
    <s v="France"/>
    <m/>
    <s v="Versailles"/>
    <n v="16"/>
    <n v="21"/>
  </r>
  <r>
    <s v="1089"/>
    <x v="28"/>
    <x v="206"/>
    <x v="47"/>
    <s v="Janet Leverling"/>
    <s v="Pavlova, Ltd."/>
    <x v="0"/>
    <s v="USA"/>
    <s v="WA"/>
    <s v="Seattle"/>
    <n v="12"/>
    <n v="8"/>
  </r>
  <r>
    <s v="1089"/>
    <x v="28"/>
    <x v="207"/>
    <x v="11"/>
    <s v="Janet Leverling"/>
    <s v="Pavlova, Ltd."/>
    <x v="0"/>
    <s v="USA"/>
    <s v="WA"/>
    <s v="Seattle"/>
    <n v="62.5"/>
    <n v="4"/>
  </r>
  <r>
    <s v="1089"/>
    <x v="28"/>
    <x v="208"/>
    <x v="72"/>
    <s v="Robert King"/>
    <s v="Zaanse Snoepfabriek"/>
    <x v="0"/>
    <s v="USA"/>
    <s v="WA"/>
    <s v="Seattle"/>
    <n v="9.5"/>
    <n v="15"/>
  </r>
  <r>
    <s v="1089"/>
    <x v="28"/>
    <x v="206"/>
    <x v="24"/>
    <s v="Janet Leverling"/>
    <s v="Svensk Sjöföda AB"/>
    <x v="0"/>
    <s v="USA"/>
    <s v="WA"/>
    <s v="Seattle"/>
    <n v="12"/>
    <n v="20"/>
  </r>
  <r>
    <s v="1089"/>
    <x v="28"/>
    <x v="206"/>
    <x v="54"/>
    <s v="Janet Leverling"/>
    <s v="Mayumi's"/>
    <x v="0"/>
    <s v="USA"/>
    <s v="WA"/>
    <s v="Seattle"/>
    <n v="4.8"/>
    <n v="2"/>
  </r>
  <r>
    <s v="1089"/>
    <x v="28"/>
    <x v="206"/>
    <x v="14"/>
    <s v="Janet Leverling"/>
    <s v="Tokyo Traders"/>
    <x v="0"/>
    <s v="USA"/>
    <s v="WA"/>
    <s v="Seattle"/>
    <n v="77.599999999999994"/>
    <n v="20"/>
  </r>
  <r>
    <s v="1089"/>
    <x v="28"/>
    <x v="54"/>
    <x v="17"/>
    <s v="Margaret Peacock"/>
    <s v="Gai pâturage"/>
    <x v="1"/>
    <s v="USA"/>
    <s v="WA"/>
    <s v="Seattle"/>
    <n v="55"/>
    <n v="15"/>
  </r>
  <r>
    <s v="1089"/>
    <x v="28"/>
    <x v="207"/>
    <x v="26"/>
    <s v="Janet Leverling"/>
    <s v="Lyngbysild"/>
    <x v="0"/>
    <s v="USA"/>
    <s v="WA"/>
    <s v="Seattle"/>
    <n v="12"/>
    <n v="21"/>
  </r>
  <r>
    <s v="1089"/>
    <x v="28"/>
    <x v="80"/>
    <x v="50"/>
    <s v="Robert King"/>
    <s v="G'day, Mate"/>
    <x v="1"/>
    <s v="USA"/>
    <s v="WA"/>
    <s v="Seattle"/>
    <n v="7"/>
    <n v="20"/>
  </r>
  <r>
    <s v="1089"/>
    <x v="28"/>
    <x v="209"/>
    <x v="6"/>
    <s v="Janet Leverling"/>
    <s v="G'day, Mate"/>
    <x v="0"/>
    <s v="USA"/>
    <s v="WA"/>
    <s v="Seattle"/>
    <n v="26.2"/>
    <n v="15"/>
  </r>
  <r>
    <s v="1089"/>
    <x v="28"/>
    <x v="209"/>
    <x v="16"/>
    <s v="Janet Leverling"/>
    <s v="Plutzer Lebensmittelgroßmärkte AG"/>
    <x v="0"/>
    <s v="USA"/>
    <s v="WA"/>
    <s v="Seattle"/>
    <n v="10.4"/>
    <n v="12"/>
  </r>
  <r>
    <s v="1089"/>
    <x v="28"/>
    <x v="54"/>
    <x v="23"/>
    <s v="Margaret Peacock"/>
    <s v="Specialty Biscuits, Ltd."/>
    <x v="1"/>
    <s v="USA"/>
    <s v="WA"/>
    <s v="Seattle"/>
    <n v="9.1999999999999993"/>
    <n v="24"/>
  </r>
  <r>
    <s v="1089"/>
    <x v="28"/>
    <x v="12"/>
    <x v="46"/>
    <s v="Anne Dodsworth"/>
    <s v="Exotic Liquids"/>
    <x v="1"/>
    <s v="USA"/>
    <s v="WA"/>
    <s v="Seattle"/>
    <n v="18"/>
    <n v="20"/>
  </r>
  <r>
    <s v="1089"/>
    <x v="28"/>
    <x v="99"/>
    <x v="47"/>
    <s v="Nancy Davolio"/>
    <s v="Pavlova, Ltd."/>
    <x v="1"/>
    <s v="USA"/>
    <s v="WA"/>
    <s v="Seattle"/>
    <n v="15"/>
    <n v="3"/>
  </r>
  <r>
    <s v="1089"/>
    <x v="28"/>
    <x v="210"/>
    <x v="11"/>
    <s v="Margaret Peacock"/>
    <s v="Pavlova, Ltd."/>
    <x v="1"/>
    <s v="USA"/>
    <s v="WA"/>
    <s v="Seattle"/>
    <n v="62.5"/>
    <n v="4"/>
  </r>
  <r>
    <s v="1089"/>
    <x v="28"/>
    <x v="54"/>
    <x v="52"/>
    <s v="Margaret Peacock"/>
    <s v="Heli Süßwaren GmbH &amp; Co. KG"/>
    <x v="1"/>
    <s v="USA"/>
    <s v="WA"/>
    <s v="Seattle"/>
    <n v="14"/>
    <n v="15"/>
  </r>
  <r>
    <s v="1089"/>
    <x v="28"/>
    <x v="210"/>
    <x v="55"/>
    <s v="Margaret Peacock"/>
    <s v="PB Knäckebröd AB"/>
    <x v="1"/>
    <s v="USA"/>
    <s v="WA"/>
    <s v="Seattle"/>
    <n v="9"/>
    <n v="8"/>
  </r>
  <r>
    <s v="1089"/>
    <x v="28"/>
    <x v="210"/>
    <x v="46"/>
    <s v="Margaret Peacock"/>
    <s v="Exotic Liquids"/>
    <x v="1"/>
    <s v="USA"/>
    <s v="WA"/>
    <s v="Seattle"/>
    <n v="18"/>
    <n v="21"/>
  </r>
  <r>
    <s v="1089"/>
    <x v="28"/>
    <x v="207"/>
    <x v="38"/>
    <s v="Janet Leverling"/>
    <s v="Leka Trading"/>
    <x v="0"/>
    <s v="USA"/>
    <s v="WA"/>
    <s v="Seattle"/>
    <n v="46"/>
    <n v="20"/>
  </r>
  <r>
    <s v="1062"/>
    <x v="29"/>
    <x v="62"/>
    <x v="57"/>
    <s v="Andrew Fuller"/>
    <s v="New England Seafood Cannery"/>
    <x v="1"/>
    <s v="Brazil"/>
    <s v="SP"/>
    <s v="São Paulo"/>
    <n v="9.65"/>
    <n v="4"/>
  </r>
  <r>
    <s v="1062"/>
    <x v="29"/>
    <x v="206"/>
    <x v="16"/>
    <s v="Laura Callahan"/>
    <s v="Plutzer Lebensmittelgroßmärkte AG"/>
    <x v="0"/>
    <s v="Brazil"/>
    <s v="SP"/>
    <s v="São Paulo"/>
    <n v="10.4"/>
    <n v="10"/>
  </r>
  <r>
    <s v="1062"/>
    <x v="29"/>
    <x v="211"/>
    <x v="7"/>
    <s v="Margaret Peacock"/>
    <s v="Specialty Biscuits, Ltd."/>
    <x v="0"/>
    <s v="Brazil"/>
    <s v="SP"/>
    <s v="São Paulo"/>
    <n v="8"/>
    <n v="20"/>
  </r>
  <r>
    <s v="1062"/>
    <x v="29"/>
    <x v="206"/>
    <x v="6"/>
    <s v="Laura Callahan"/>
    <s v="G'day, Mate"/>
    <x v="0"/>
    <s v="Brazil"/>
    <s v="SP"/>
    <s v="São Paulo"/>
    <n v="26.2"/>
    <n v="15"/>
  </r>
  <r>
    <s v="1062"/>
    <x v="29"/>
    <x v="206"/>
    <x v="5"/>
    <s v="Laura Callahan"/>
    <s v="Heli Süßwaren GmbH &amp; Co. KG"/>
    <x v="0"/>
    <s v="Brazil"/>
    <s v="SP"/>
    <s v="São Paulo"/>
    <n v="24.9"/>
    <n v="30"/>
  </r>
  <r>
    <s v="1062"/>
    <x v="29"/>
    <x v="212"/>
    <x v="44"/>
    <s v="Margaret Peacock"/>
    <s v="Aux joyeux ecclésiastiques"/>
    <x v="0"/>
    <s v="Brazil"/>
    <s v="SP"/>
    <s v="São Paulo"/>
    <n v="18"/>
    <n v="20"/>
  </r>
  <r>
    <s v="1062"/>
    <x v="29"/>
    <x v="62"/>
    <x v="56"/>
    <s v="Andrew Fuller"/>
    <s v="Las Cabras"/>
    <x v="1"/>
    <s v="Brazil"/>
    <s v="SP"/>
    <s v="São Paulo"/>
    <n v="21"/>
    <n v="15"/>
  </r>
  <r>
    <s v="1062"/>
    <x v="29"/>
    <x v="62"/>
    <x v="70"/>
    <s v="Andrew Fuller"/>
    <s v="Grandma Kelly's Homestead"/>
    <x v="1"/>
    <s v="Brazil"/>
    <s v="SP"/>
    <s v="São Paulo"/>
    <n v="25"/>
    <n v="40"/>
  </r>
  <r>
    <s v="1062"/>
    <x v="29"/>
    <x v="206"/>
    <x v="23"/>
    <s v="Laura Callahan"/>
    <s v="Specialty Biscuits, Ltd."/>
    <x v="0"/>
    <s v="Brazil"/>
    <s v="SP"/>
    <s v="São Paulo"/>
    <n v="7.3"/>
    <n v="4"/>
  </r>
  <r>
    <s v="1062"/>
    <x v="29"/>
    <x v="127"/>
    <x v="13"/>
    <s v="Nancy Davolio"/>
    <s v="Bigfoot Breweries"/>
    <x v="0"/>
    <s v="Brazil"/>
    <s v="SP"/>
    <s v="São Paulo"/>
    <n v="18"/>
    <n v="20"/>
  </r>
  <r>
    <s v="1062"/>
    <x v="29"/>
    <x v="91"/>
    <x v="68"/>
    <s v="Michael Suyama"/>
    <s v="Mayumi's"/>
    <x v="1"/>
    <s v="Brazil"/>
    <s v="SP"/>
    <s v="São Paulo"/>
    <n v="23.25"/>
    <n v="15"/>
  </r>
  <r>
    <s v="1062"/>
    <x v="29"/>
    <x v="127"/>
    <x v="5"/>
    <s v="Nancy Davolio"/>
    <s v="Heli Süßwaren GmbH &amp; Co. KG"/>
    <x v="0"/>
    <s v="Brazil"/>
    <s v="SP"/>
    <s v="São Paulo"/>
    <n v="31.23"/>
    <n v="6"/>
  </r>
  <r>
    <s v="1062"/>
    <x v="29"/>
    <x v="211"/>
    <x v="13"/>
    <s v="Margaret Peacock"/>
    <s v="Bigfoot Breweries"/>
    <x v="0"/>
    <s v="Brazil"/>
    <s v="SP"/>
    <s v="São Paulo"/>
    <n v="14.4"/>
    <n v="20"/>
  </r>
  <r>
    <s v="1062"/>
    <x v="29"/>
    <x v="127"/>
    <x v="16"/>
    <s v="Nancy Davolio"/>
    <s v="Plutzer Lebensmittelgroßmärkte AG"/>
    <x v="0"/>
    <s v="Brazil"/>
    <s v="SP"/>
    <s v="São Paulo"/>
    <n v="13"/>
    <n v="20"/>
  </r>
  <r>
    <s v="1062"/>
    <x v="29"/>
    <x v="213"/>
    <x v="28"/>
    <s v="Andrew Fuller"/>
    <s v="Pavlova, Ltd."/>
    <x v="0"/>
    <s v="Brazil"/>
    <s v="SP"/>
    <s v="São Paulo"/>
    <n v="35.1"/>
    <n v="16"/>
  </r>
  <r>
    <s v="1062"/>
    <x v="29"/>
    <x v="212"/>
    <x v="23"/>
    <s v="Margaret Peacock"/>
    <s v="Specialty Biscuits, Ltd."/>
    <x v="0"/>
    <s v="Brazil"/>
    <s v="SP"/>
    <s v="São Paulo"/>
    <n v="9.1999999999999993"/>
    <n v="30"/>
  </r>
  <r>
    <s v="1062"/>
    <x v="29"/>
    <x v="213"/>
    <x v="39"/>
    <s v="Andrew Fuller"/>
    <s v="New Orleans Cajun Delights"/>
    <x v="0"/>
    <s v="Brazil"/>
    <s v="SP"/>
    <s v="São Paulo"/>
    <n v="16.8"/>
    <n v="20"/>
  </r>
  <r>
    <s v="1062"/>
    <x v="29"/>
    <x v="194"/>
    <x v="51"/>
    <s v="Laura Callahan"/>
    <s v="Norske Meierier"/>
    <x v="0"/>
    <s v="Brazil"/>
    <s v="SP"/>
    <s v="São Paulo"/>
    <n v="21.5"/>
    <n v="8"/>
  </r>
  <r>
    <s v="1062"/>
    <x v="29"/>
    <x v="185"/>
    <x v="34"/>
    <s v="Michael Suyama"/>
    <s v="G'day, Mate"/>
    <x v="0"/>
    <s v="Brazil"/>
    <s v="SP"/>
    <s v="São Paulo"/>
    <n v="42.4"/>
    <n v="2"/>
  </r>
  <r>
    <s v="1062"/>
    <x v="29"/>
    <x v="185"/>
    <x v="29"/>
    <s v="Michael Suyama"/>
    <s v="Leka Trading"/>
    <x v="0"/>
    <s v="Brazil"/>
    <s v="SP"/>
    <s v="São Paulo"/>
    <n v="15.5"/>
    <n v="24"/>
  </r>
  <r>
    <s v="1062"/>
    <x v="29"/>
    <x v="185"/>
    <x v="54"/>
    <s v="Michael Suyama"/>
    <s v="Mayumi's"/>
    <x v="0"/>
    <s v="Brazil"/>
    <s v="SP"/>
    <s v="São Paulo"/>
    <n v="4.8"/>
    <n v="20"/>
  </r>
  <r>
    <s v="1062"/>
    <x v="29"/>
    <x v="91"/>
    <x v="0"/>
    <s v="Michael Suyama"/>
    <s v="Ma Maison"/>
    <x v="1"/>
    <s v="Brazil"/>
    <s v="SP"/>
    <s v="São Paulo"/>
    <n v="7.45"/>
    <n v="6"/>
  </r>
  <r>
    <s v="1062"/>
    <x v="29"/>
    <x v="213"/>
    <x v="57"/>
    <s v="Andrew Fuller"/>
    <s v="New England Seafood Cannery"/>
    <x v="0"/>
    <s v="Brazil"/>
    <s v="SP"/>
    <s v="São Paulo"/>
    <n v="7.7"/>
    <n v="8"/>
  </r>
  <r>
    <s v="1062"/>
    <x v="29"/>
    <x v="194"/>
    <x v="13"/>
    <s v="Laura Callahan"/>
    <s v="Bigfoot Breweries"/>
    <x v="0"/>
    <s v="Brazil"/>
    <s v="SP"/>
    <s v="São Paulo"/>
    <n v="18"/>
    <n v="21"/>
  </r>
  <r>
    <s v="1060"/>
    <x v="30"/>
    <x v="214"/>
    <x v="12"/>
    <s v="Andrew Fuller"/>
    <s v="Norske Meierier"/>
    <x v="0"/>
    <s v="Portugal"/>
    <m/>
    <s v="Lisboa"/>
    <n v="28.8"/>
    <n v="50"/>
  </r>
  <r>
    <s v="1060"/>
    <x v="30"/>
    <x v="215"/>
    <x v="57"/>
    <s v="Michael Suyama"/>
    <s v="New England Seafood Cannery"/>
    <x v="1"/>
    <s v="Portugal"/>
    <m/>
    <s v="Lisboa"/>
    <n v="9.65"/>
    <n v="35"/>
  </r>
  <r>
    <s v="1060"/>
    <x v="30"/>
    <x v="164"/>
    <x v="11"/>
    <s v="Andrew Fuller"/>
    <s v="Pavlova, Ltd."/>
    <x v="1"/>
    <s v="Portugal"/>
    <m/>
    <s v="Lisboa"/>
    <n v="62.5"/>
    <n v="35"/>
  </r>
  <r>
    <s v="1060"/>
    <x v="30"/>
    <x v="215"/>
    <x v="28"/>
    <s v="Michael Suyama"/>
    <s v="Pavlova, Ltd."/>
    <x v="1"/>
    <s v="Portugal"/>
    <m/>
    <s v="Lisboa"/>
    <n v="43.9"/>
    <n v="9"/>
  </r>
  <r>
    <s v="1060"/>
    <x v="30"/>
    <x v="215"/>
    <x v="12"/>
    <s v="Michael Suyama"/>
    <s v="Norske Meierier"/>
    <x v="1"/>
    <s v="Portugal"/>
    <m/>
    <s v="Lisboa"/>
    <n v="36"/>
    <n v="30"/>
  </r>
  <r>
    <s v="1060"/>
    <x v="30"/>
    <x v="216"/>
    <x v="15"/>
    <s v="Janet Leverling"/>
    <s v="Pavlova, Ltd."/>
    <x v="0"/>
    <s v="Portugal"/>
    <m/>
    <s v="Lisboa"/>
    <n v="39"/>
    <n v="40"/>
  </r>
  <r>
    <s v="1060"/>
    <x v="30"/>
    <x v="216"/>
    <x v="4"/>
    <s v="Janet Leverling"/>
    <s v="Forêts d'érables"/>
    <x v="0"/>
    <s v="Portugal"/>
    <m/>
    <s v="Lisboa"/>
    <n v="28.5"/>
    <n v="20"/>
  </r>
  <r>
    <s v="1060"/>
    <x v="30"/>
    <x v="217"/>
    <x v="68"/>
    <s v="Margaret Peacock"/>
    <s v="Mayumi's"/>
    <x v="0"/>
    <s v="Portugal"/>
    <m/>
    <s v="Lisboa"/>
    <n v="18.600000000000001"/>
    <n v="35"/>
  </r>
  <r>
    <s v="1060"/>
    <x v="30"/>
    <x v="13"/>
    <x v="39"/>
    <s v="Robert King"/>
    <s v="New Orleans Cajun Delights"/>
    <x v="0"/>
    <s v="Portugal"/>
    <m/>
    <s v="Lisboa"/>
    <n v="21.05"/>
    <n v="12"/>
  </r>
  <r>
    <s v="1060"/>
    <x v="30"/>
    <x v="164"/>
    <x v="61"/>
    <s v="Andrew Fuller"/>
    <s v="Formaggi Fortini s.r.l."/>
    <x v="1"/>
    <s v="Portugal"/>
    <m/>
    <s v="Lisboa"/>
    <n v="32"/>
    <n v="20"/>
  </r>
  <r>
    <s v="1060"/>
    <x v="30"/>
    <x v="216"/>
    <x v="40"/>
    <s v="Janet Leverling"/>
    <s v="Karkki Oy"/>
    <x v="0"/>
    <s v="Portugal"/>
    <m/>
    <s v="Lisboa"/>
    <n v="18"/>
    <n v="50"/>
  </r>
  <r>
    <s v="1060"/>
    <x v="30"/>
    <x v="218"/>
    <x v="1"/>
    <s v="Michael Suyama"/>
    <s v="Pavlova, Ltd."/>
    <x v="0"/>
    <s v="Portugal"/>
    <m/>
    <s v="Lisboa"/>
    <n v="13.9"/>
    <n v="18"/>
  </r>
  <r>
    <s v="1060"/>
    <x v="30"/>
    <x v="218"/>
    <x v="56"/>
    <s v="Michael Suyama"/>
    <s v="Las Cabras"/>
    <x v="0"/>
    <s v="Portugal"/>
    <m/>
    <s v="Lisboa"/>
    <n v="16.8"/>
    <n v="15"/>
  </r>
  <r>
    <s v="1060"/>
    <x v="30"/>
    <x v="216"/>
    <x v="38"/>
    <s v="Janet Leverling"/>
    <s v="Leka Trading"/>
    <x v="0"/>
    <s v="Portugal"/>
    <m/>
    <s v="Lisboa"/>
    <n v="46"/>
    <n v="25"/>
  </r>
  <r>
    <s v="1060"/>
    <x v="30"/>
    <x v="219"/>
    <x v="48"/>
    <s v="Laura Callahan"/>
    <s v="PB Knäckebröd AB"/>
    <x v="1"/>
    <s v="Portugal"/>
    <m/>
    <s v="Lisboa"/>
    <n v="21"/>
    <n v="35"/>
  </r>
  <r>
    <s v="1060"/>
    <x v="30"/>
    <x v="215"/>
    <x v="60"/>
    <s v="Michael Suyama"/>
    <s v="Formaggi Fortini s.r.l."/>
    <x v="1"/>
    <s v="Portugal"/>
    <m/>
    <s v="Lisboa"/>
    <n v="12.5"/>
    <n v="8"/>
  </r>
  <r>
    <s v="1060"/>
    <x v="30"/>
    <x v="13"/>
    <x v="53"/>
    <s v="Robert King"/>
    <s v="Pasta Buttini s.r.l."/>
    <x v="0"/>
    <s v="Portugal"/>
    <m/>
    <s v="Lisboa"/>
    <n v="19.5"/>
    <n v="20"/>
  </r>
  <r>
    <s v="1060"/>
    <x v="30"/>
    <x v="13"/>
    <x v="41"/>
    <s v="Robert King"/>
    <s v="Refrescos Americanas LTDA"/>
    <x v="0"/>
    <s v="Portugal"/>
    <m/>
    <s v="Lisboa"/>
    <n v="4.5"/>
    <n v="35"/>
  </r>
  <r>
    <s v="1060"/>
    <x v="30"/>
    <x v="54"/>
    <x v="5"/>
    <s v="Andrew Fuller"/>
    <s v="Heli Süßwaren GmbH &amp; Co. KG"/>
    <x v="0"/>
    <s v="Portugal"/>
    <m/>
    <s v="Lisboa"/>
    <n v="31.23"/>
    <n v="15"/>
  </r>
  <r>
    <s v="1060"/>
    <x v="30"/>
    <x v="54"/>
    <x v="15"/>
    <s v="Andrew Fuller"/>
    <s v="Pavlova, Ltd."/>
    <x v="0"/>
    <s v="Portugal"/>
    <m/>
    <s v="Lisboa"/>
    <n v="39"/>
    <n v="30"/>
  </r>
  <r>
    <s v="1060"/>
    <x v="30"/>
    <x v="220"/>
    <x v="18"/>
    <s v="Robert King"/>
    <s v="Aux joyeux ecclésiastiques"/>
    <x v="0"/>
    <s v="Portugal"/>
    <m/>
    <s v="Lisboa"/>
    <n v="210.8"/>
    <n v="50"/>
  </r>
  <r>
    <s v="1060"/>
    <x v="30"/>
    <x v="220"/>
    <x v="56"/>
    <s v="Robert King"/>
    <s v="Las Cabras"/>
    <x v="0"/>
    <s v="Portugal"/>
    <m/>
    <s v="Lisboa"/>
    <n v="16.8"/>
    <n v="12"/>
  </r>
  <r>
    <s v="1060"/>
    <x v="30"/>
    <x v="164"/>
    <x v="62"/>
    <s v="Andrew Fuller"/>
    <s v="Plutzer Lebensmittelgroßmärkte AG"/>
    <x v="1"/>
    <s v="Portugal"/>
    <m/>
    <s v="Lisboa"/>
    <n v="33.25"/>
    <n v="25"/>
  </r>
  <r>
    <s v="1005"/>
    <x v="31"/>
    <x v="221"/>
    <x v="41"/>
    <s v="Andrew Fuller"/>
    <s v="Refrescos Americanas LTDA"/>
    <x v="0"/>
    <s v="Sweden"/>
    <m/>
    <s v="Luleå"/>
    <n v="3.6"/>
    <n v="12"/>
  </r>
  <r>
    <s v="1005"/>
    <x v="31"/>
    <x v="222"/>
    <x v="66"/>
    <s v="Laura Callahan"/>
    <s v="Exotic Liquids"/>
    <x v="1"/>
    <s v="Sweden"/>
    <m/>
    <s v="Luleå"/>
    <n v="10"/>
    <n v="30"/>
  </r>
  <r>
    <s v="1005"/>
    <x v="31"/>
    <x v="223"/>
    <x v="72"/>
    <s v="Anne Dodsworth"/>
    <s v="Zaanse Snoepfabriek"/>
    <x v="1"/>
    <s v="Sweden"/>
    <m/>
    <s v="Luleå"/>
    <n v="9.5"/>
    <n v="40"/>
  </r>
  <r>
    <s v="1005"/>
    <x v="31"/>
    <x v="221"/>
    <x v="63"/>
    <s v="Andrew Fuller"/>
    <s v="Ma Maison"/>
    <x v="0"/>
    <s v="Sweden"/>
    <m/>
    <s v="Luleå"/>
    <n v="19.2"/>
    <n v="20"/>
  </r>
  <r>
    <s v="1005"/>
    <x v="31"/>
    <x v="224"/>
    <x v="33"/>
    <s v="Steven Buchanan"/>
    <s v="Nord-Ost-Fisch Handelsgesellschaft mbH"/>
    <x v="1"/>
    <s v="Sweden"/>
    <m/>
    <s v="Luleå"/>
    <n v="25.89"/>
    <n v="40"/>
  </r>
  <r>
    <s v="1005"/>
    <x v="31"/>
    <x v="172"/>
    <x v="27"/>
    <s v="Janet Leverling"/>
    <s v="Plutzer Lebensmittelgroßmärkte AG"/>
    <x v="1"/>
    <s v="Sweden"/>
    <m/>
    <s v="Luleå"/>
    <n v="7.75"/>
    <n v="6"/>
  </r>
  <r>
    <s v="1005"/>
    <x v="31"/>
    <x v="117"/>
    <x v="50"/>
    <s v="Nancy Davolio"/>
    <s v="G'day, Mate"/>
    <x v="0"/>
    <s v="Sweden"/>
    <m/>
    <s v="Luleå"/>
    <n v="7"/>
    <n v="25"/>
  </r>
  <r>
    <s v="1005"/>
    <x v="31"/>
    <x v="224"/>
    <x v="41"/>
    <s v="Steven Buchanan"/>
    <s v="Refrescos Americanas LTDA"/>
    <x v="1"/>
    <s v="Sweden"/>
    <m/>
    <s v="Luleå"/>
    <n v="4.5"/>
    <n v="6"/>
  </r>
  <r>
    <s v="1005"/>
    <x v="31"/>
    <x v="143"/>
    <x v="18"/>
    <s v="Anne Dodsworth"/>
    <s v="Aux joyeux ecclésiastiques"/>
    <x v="0"/>
    <s v="Sweden"/>
    <m/>
    <s v="Luleå"/>
    <n v="263.5"/>
    <n v="15"/>
  </r>
  <r>
    <s v="1005"/>
    <x v="31"/>
    <x v="224"/>
    <x v="8"/>
    <s v="Steven Buchanan"/>
    <s v="Exotic Liquids"/>
    <x v="1"/>
    <s v="Sweden"/>
    <m/>
    <s v="Luleå"/>
    <n v="19"/>
    <n v="21"/>
  </r>
  <r>
    <s v="1005"/>
    <x v="31"/>
    <x v="74"/>
    <x v="0"/>
    <s v="Steven Buchanan"/>
    <s v="Ma Maison"/>
    <x v="0"/>
    <s v="Sweden"/>
    <m/>
    <s v="Luleå"/>
    <n v="7.45"/>
    <n v="6"/>
  </r>
  <r>
    <s v="1005"/>
    <x v="31"/>
    <x v="143"/>
    <x v="51"/>
    <s v="Anne Dodsworth"/>
    <s v="Norske Meierier"/>
    <x v="0"/>
    <s v="Sweden"/>
    <m/>
    <s v="Luleå"/>
    <n v="21.5"/>
    <n v="12"/>
  </r>
  <r>
    <s v="1005"/>
    <x v="31"/>
    <x v="172"/>
    <x v="43"/>
    <s v="Janet Leverling"/>
    <s v="Tokyo Traders"/>
    <x v="1"/>
    <s v="Sweden"/>
    <m/>
    <s v="Luleå"/>
    <n v="31"/>
    <n v="20"/>
  </r>
  <r>
    <s v="1005"/>
    <x v="31"/>
    <x v="172"/>
    <x v="31"/>
    <s v="Janet Leverling"/>
    <s v="Plutzer Lebensmittelgroßmärkte AG"/>
    <x v="1"/>
    <s v="Sweden"/>
    <m/>
    <s v="Luleå"/>
    <n v="45.6"/>
    <n v="30"/>
  </r>
  <r>
    <s v="1005"/>
    <x v="31"/>
    <x v="74"/>
    <x v="44"/>
    <s v="Steven Buchanan"/>
    <s v="Aux joyeux ecclésiastiques"/>
    <x v="0"/>
    <s v="Sweden"/>
    <m/>
    <s v="Luleå"/>
    <n v="18"/>
    <n v="20"/>
  </r>
  <r>
    <s v="1005"/>
    <x v="31"/>
    <x v="74"/>
    <x v="3"/>
    <s v="Steven Buchanan"/>
    <s v="New Orleans Cajun Delights"/>
    <x v="0"/>
    <s v="Sweden"/>
    <m/>
    <s v="Luleå"/>
    <n v="22"/>
    <n v="12"/>
  </r>
  <r>
    <s v="1005"/>
    <x v="31"/>
    <x v="221"/>
    <x v="27"/>
    <s v="Andrew Fuller"/>
    <s v="Plutzer Lebensmittelgroßmärkte AG"/>
    <x v="0"/>
    <s v="Sweden"/>
    <m/>
    <s v="Luleå"/>
    <n v="6.2"/>
    <n v="30"/>
  </r>
  <r>
    <s v="1005"/>
    <x v="31"/>
    <x v="126"/>
    <x v="13"/>
    <s v="Janet Leverling"/>
    <s v="Bigfoot Breweries"/>
    <x v="0"/>
    <s v="Sweden"/>
    <m/>
    <s v="Luleå"/>
    <n v="14.4"/>
    <n v="8"/>
  </r>
  <r>
    <s v="1005"/>
    <x v="31"/>
    <x v="88"/>
    <x v="59"/>
    <s v="Janet Leverling"/>
    <s v="Specialty Biscuits, Ltd."/>
    <x v="0"/>
    <s v="Sweden"/>
    <m/>
    <s v="Luleå"/>
    <n v="64.8"/>
    <n v="28"/>
  </r>
  <r>
    <s v="1005"/>
    <x v="31"/>
    <x v="118"/>
    <x v="23"/>
    <s v="Margaret Peacock"/>
    <s v="Specialty Biscuits, Ltd."/>
    <x v="1"/>
    <s v="Sweden"/>
    <m/>
    <s v="Luleå"/>
    <n v="9.1999999999999993"/>
    <n v="25"/>
  </r>
  <r>
    <s v="1005"/>
    <x v="31"/>
    <x v="50"/>
    <x v="0"/>
    <s v="Nancy Davolio"/>
    <s v="Ma Maison"/>
    <x v="0"/>
    <s v="Sweden"/>
    <m/>
    <s v="Luleå"/>
    <n v="7.45"/>
    <n v="15"/>
  </r>
  <r>
    <s v="1005"/>
    <x v="31"/>
    <x v="88"/>
    <x v="35"/>
    <s v="Janet Leverling"/>
    <s v="Gai pâturage"/>
    <x v="0"/>
    <s v="Sweden"/>
    <m/>
    <s v="Luleå"/>
    <n v="27.2"/>
    <n v="15"/>
  </r>
  <r>
    <s v="1005"/>
    <x v="31"/>
    <x v="225"/>
    <x v="29"/>
    <s v="Laura Callahan"/>
    <s v="Leka Trading"/>
    <x v="0"/>
    <s v="Sweden"/>
    <m/>
    <s v="Luleå"/>
    <n v="15.5"/>
    <n v="16"/>
  </r>
  <r>
    <s v="1005"/>
    <x v="31"/>
    <x v="225"/>
    <x v="17"/>
    <s v="Laura Callahan"/>
    <s v="Gai pâturage"/>
    <x v="0"/>
    <s v="Sweden"/>
    <m/>
    <s v="Luleå"/>
    <n v="44"/>
    <n v="15"/>
  </r>
  <r>
    <s v="1005"/>
    <x v="31"/>
    <x v="225"/>
    <x v="28"/>
    <s v="Laura Callahan"/>
    <s v="Pavlova, Ltd."/>
    <x v="0"/>
    <s v="Sweden"/>
    <m/>
    <s v="Luleå"/>
    <n v="35.1"/>
    <n v="8"/>
  </r>
  <r>
    <s v="1005"/>
    <x v="31"/>
    <x v="222"/>
    <x v="5"/>
    <s v="Laura Callahan"/>
    <s v="Heli Süßwaren GmbH &amp; Co. KG"/>
    <x v="1"/>
    <s v="Sweden"/>
    <m/>
    <s v="Luleå"/>
    <n v="31.23"/>
    <n v="35"/>
  </r>
  <r>
    <s v="1005"/>
    <x v="31"/>
    <x v="126"/>
    <x v="57"/>
    <s v="Janet Leverling"/>
    <s v="New England Seafood Cannery"/>
    <x v="0"/>
    <s v="Sweden"/>
    <m/>
    <s v="Luleå"/>
    <n v="7.7"/>
    <n v="30"/>
  </r>
  <r>
    <s v="1005"/>
    <x v="31"/>
    <x v="50"/>
    <x v="33"/>
    <s v="Nancy Davolio"/>
    <s v="Nord-Ost-Fisch Handelsgesellschaft mbH"/>
    <x v="0"/>
    <s v="Sweden"/>
    <m/>
    <s v="Luleå"/>
    <n v="25.89"/>
    <n v="10"/>
  </r>
  <r>
    <s v="1005"/>
    <x v="31"/>
    <x v="126"/>
    <x v="5"/>
    <s v="Janet Leverling"/>
    <s v="Heli Süßwaren GmbH &amp; Co. KG"/>
    <x v="0"/>
    <s v="Sweden"/>
    <m/>
    <s v="Luleå"/>
    <n v="24.9"/>
    <n v="15"/>
  </r>
  <r>
    <s v="1005"/>
    <x v="31"/>
    <x v="126"/>
    <x v="15"/>
    <s v="Janet Leverling"/>
    <s v="Pavlova, Ltd."/>
    <x v="0"/>
    <s v="Sweden"/>
    <m/>
    <s v="Luleå"/>
    <n v="31.2"/>
    <n v="10"/>
  </r>
  <r>
    <s v="1005"/>
    <x v="31"/>
    <x v="226"/>
    <x v="1"/>
    <s v="Janet Leverling"/>
    <s v="Pavlova, Ltd."/>
    <x v="0"/>
    <s v="Sweden"/>
    <m/>
    <s v="Luleå"/>
    <n v="17.45"/>
    <n v="12"/>
  </r>
  <r>
    <s v="1005"/>
    <x v="31"/>
    <x v="226"/>
    <x v="61"/>
    <s v="Janet Leverling"/>
    <s v="Formaggi Fortini s.r.l."/>
    <x v="0"/>
    <s v="Sweden"/>
    <m/>
    <s v="Luleå"/>
    <n v="32"/>
    <n v="10"/>
  </r>
  <r>
    <s v="1005"/>
    <x v="31"/>
    <x v="226"/>
    <x v="76"/>
    <s v="Janet Leverling"/>
    <s v="New England Seafood Cannery"/>
    <x v="0"/>
    <s v="Sweden"/>
    <m/>
    <s v="Luleå"/>
    <n v="18.399999999999999"/>
    <n v="50"/>
  </r>
  <r>
    <s v="1005"/>
    <x v="31"/>
    <x v="226"/>
    <x v="27"/>
    <s v="Janet Leverling"/>
    <s v="Plutzer Lebensmittelgroßmärkte AG"/>
    <x v="0"/>
    <s v="Sweden"/>
    <m/>
    <s v="Luleå"/>
    <n v="7.75"/>
    <n v="15"/>
  </r>
  <r>
    <s v="1005"/>
    <x v="31"/>
    <x v="227"/>
    <x v="0"/>
    <s v="Janet Leverling"/>
    <s v="Ma Maison"/>
    <x v="0"/>
    <s v="Sweden"/>
    <m/>
    <s v="Luleå"/>
    <n v="5.9"/>
    <n v="15"/>
  </r>
  <r>
    <s v="1005"/>
    <x v="31"/>
    <x v="227"/>
    <x v="44"/>
    <s v="Janet Leverling"/>
    <s v="Aux joyeux ecclésiastiques"/>
    <x v="0"/>
    <s v="Sweden"/>
    <m/>
    <s v="Luleå"/>
    <n v="14.4"/>
    <n v="6"/>
  </r>
  <r>
    <s v="1005"/>
    <x v="31"/>
    <x v="225"/>
    <x v="24"/>
    <s v="Laura Callahan"/>
    <s v="Svensk Sjöföda AB"/>
    <x v="0"/>
    <s v="Sweden"/>
    <m/>
    <s v="Luleå"/>
    <n v="12"/>
    <n v="25"/>
  </r>
  <r>
    <s v="1005"/>
    <x v="31"/>
    <x v="118"/>
    <x v="72"/>
    <s v="Margaret Peacock"/>
    <s v="Zaanse Snoepfabriek"/>
    <x v="1"/>
    <s v="Sweden"/>
    <m/>
    <s v="Luleå"/>
    <n v="9.5"/>
    <n v="21"/>
  </r>
  <r>
    <s v="1005"/>
    <x v="31"/>
    <x v="104"/>
    <x v="57"/>
    <s v="Janet Leverling"/>
    <s v="New England Seafood Cannery"/>
    <x v="1"/>
    <s v="Sweden"/>
    <m/>
    <s v="Luleå"/>
    <n v="9.65"/>
    <n v="10"/>
  </r>
  <r>
    <s v="1005"/>
    <x v="31"/>
    <x v="222"/>
    <x v="37"/>
    <s v="Laura Callahan"/>
    <s v="Plutzer Lebensmittelgroßmärkte AG"/>
    <x v="1"/>
    <s v="Sweden"/>
    <m/>
    <s v="Luleå"/>
    <n v="123.79"/>
    <n v="10"/>
  </r>
  <r>
    <s v="1005"/>
    <x v="31"/>
    <x v="228"/>
    <x v="46"/>
    <s v="Nancy Davolio"/>
    <s v="Exotic Liquids"/>
    <x v="0"/>
    <s v="Sweden"/>
    <m/>
    <s v="Luleå"/>
    <n v="18"/>
    <n v="35"/>
  </r>
  <r>
    <s v="1005"/>
    <x v="31"/>
    <x v="229"/>
    <x v="6"/>
    <s v="Nancy Davolio"/>
    <s v="G'day, Mate"/>
    <x v="0"/>
    <s v="Sweden"/>
    <m/>
    <s v="Luleå"/>
    <n v="32.799999999999997"/>
    <n v="12"/>
  </r>
  <r>
    <s v="1005"/>
    <x v="31"/>
    <x v="50"/>
    <x v="38"/>
    <s v="Nancy Davolio"/>
    <s v="Leka Trading"/>
    <x v="0"/>
    <s v="Sweden"/>
    <m/>
    <s v="Luleå"/>
    <n v="46"/>
    <n v="60"/>
  </r>
  <r>
    <s v="1005"/>
    <x v="31"/>
    <x v="118"/>
    <x v="49"/>
    <s v="Margaret Peacock"/>
    <s v="Karkki Oy"/>
    <x v="1"/>
    <s v="Sweden"/>
    <m/>
    <s v="Luleå"/>
    <n v="20"/>
    <n v="15"/>
  </r>
  <r>
    <s v="1005"/>
    <x v="31"/>
    <x v="50"/>
    <x v="43"/>
    <s v="Nancy Davolio"/>
    <s v="Tokyo Traders"/>
    <x v="0"/>
    <s v="Sweden"/>
    <m/>
    <s v="Luleå"/>
    <n v="31"/>
    <n v="2"/>
  </r>
  <r>
    <s v="1005"/>
    <x v="31"/>
    <x v="117"/>
    <x v="31"/>
    <s v="Nancy Davolio"/>
    <s v="Plutzer Lebensmittelgroßmärkte AG"/>
    <x v="0"/>
    <s v="Sweden"/>
    <m/>
    <s v="Luleå"/>
    <n v="45.6"/>
    <n v="20"/>
  </r>
  <r>
    <s v="1005"/>
    <x v="31"/>
    <x v="117"/>
    <x v="68"/>
    <s v="Nancy Davolio"/>
    <s v="Mayumi's"/>
    <x v="0"/>
    <s v="Sweden"/>
    <m/>
    <s v="Luleå"/>
    <n v="23.25"/>
    <n v="16"/>
  </r>
  <r>
    <s v="1005"/>
    <x v="31"/>
    <x v="223"/>
    <x v="76"/>
    <s v="Anne Dodsworth"/>
    <s v="New England Seafood Cannery"/>
    <x v="1"/>
    <s v="Sweden"/>
    <m/>
    <s v="Luleå"/>
    <n v="18.399999999999999"/>
    <n v="25"/>
  </r>
  <r>
    <s v="1005"/>
    <x v="31"/>
    <x v="223"/>
    <x v="54"/>
    <s v="Anne Dodsworth"/>
    <s v="Mayumi's"/>
    <x v="1"/>
    <s v="Sweden"/>
    <m/>
    <s v="Luleå"/>
    <n v="6"/>
    <n v="6"/>
  </r>
  <r>
    <s v="1005"/>
    <x v="31"/>
    <x v="223"/>
    <x v="40"/>
    <s v="Anne Dodsworth"/>
    <s v="Karkki Oy"/>
    <x v="1"/>
    <s v="Sweden"/>
    <m/>
    <s v="Luleå"/>
    <n v="18"/>
    <n v="21"/>
  </r>
  <r>
    <s v="1005"/>
    <x v="31"/>
    <x v="229"/>
    <x v="51"/>
    <s v="Nancy Davolio"/>
    <s v="Norske Meierier"/>
    <x v="0"/>
    <s v="Sweden"/>
    <m/>
    <s v="Luleå"/>
    <n v="21.5"/>
    <n v="20"/>
  </r>
  <r>
    <s v="1005"/>
    <x v="31"/>
    <x v="229"/>
    <x v="35"/>
    <s v="Nancy Davolio"/>
    <s v="Gai pâturage"/>
    <x v="0"/>
    <s v="Sweden"/>
    <m/>
    <s v="Luleå"/>
    <n v="34"/>
    <n v="20"/>
  </r>
  <r>
    <s v="1045"/>
    <x v="32"/>
    <x v="230"/>
    <x v="33"/>
    <s v="Laura Callahan"/>
    <s v="Nord-Ost-Fisch Handelsgesellschaft mbH"/>
    <x v="0"/>
    <s v="USA"/>
    <s v="CA"/>
    <s v="San Francisco"/>
    <n v="25.89"/>
    <n v="10"/>
  </r>
  <r>
    <s v="1045"/>
    <x v="32"/>
    <x v="230"/>
    <x v="76"/>
    <s v="Laura Callahan"/>
    <s v="New England Seafood Cannery"/>
    <x v="0"/>
    <s v="USA"/>
    <s v="CA"/>
    <s v="San Francisco"/>
    <n v="18.399999999999999"/>
    <n v="10"/>
  </r>
  <r>
    <s v="1045"/>
    <x v="32"/>
    <x v="230"/>
    <x v="0"/>
    <s v="Laura Callahan"/>
    <s v="Ma Maison"/>
    <x v="0"/>
    <s v="USA"/>
    <s v="CA"/>
    <s v="San Francisco"/>
    <n v="7.45"/>
    <n v="10"/>
  </r>
  <r>
    <s v="1045"/>
    <x v="32"/>
    <x v="231"/>
    <x v="65"/>
    <s v="Margaret Peacock"/>
    <s v="Heli Süßwaren GmbH &amp; Co. KG"/>
    <x v="0"/>
    <s v="USA"/>
    <s v="CA"/>
    <s v="San Francisco"/>
    <n v="35.1"/>
    <n v="15"/>
  </r>
  <r>
    <s v="1045"/>
    <x v="32"/>
    <x v="232"/>
    <x v="32"/>
    <s v="Margaret Peacock"/>
    <s v="Specialty Biscuits, Ltd."/>
    <x v="0"/>
    <s v="USA"/>
    <s v="CA"/>
    <s v="San Francisco"/>
    <n v="10"/>
    <n v="4"/>
  </r>
  <r>
    <s v="1045"/>
    <x v="32"/>
    <x v="232"/>
    <x v="40"/>
    <s v="Margaret Peacock"/>
    <s v="Karkki Oy"/>
    <x v="0"/>
    <s v="USA"/>
    <s v="CA"/>
    <s v="San Francisco"/>
    <n v="14.4"/>
    <n v="15"/>
  </r>
  <r>
    <s v="1045"/>
    <x v="32"/>
    <x v="231"/>
    <x v="73"/>
    <s v="Margaret Peacock"/>
    <s v="Bigfoot Breweries"/>
    <x v="0"/>
    <s v="USA"/>
    <s v="CA"/>
    <s v="San Francisco"/>
    <n v="11.2"/>
    <n v="5"/>
  </r>
  <r>
    <s v="1045"/>
    <x v="32"/>
    <x v="231"/>
    <x v="29"/>
    <s v="Margaret Peacock"/>
    <s v="Leka Trading"/>
    <x v="0"/>
    <s v="USA"/>
    <s v="CA"/>
    <s v="San Francisco"/>
    <n v="15.5"/>
    <n v="21"/>
  </r>
  <r>
    <s v="1045"/>
    <x v="32"/>
    <x v="231"/>
    <x v="35"/>
    <s v="Margaret Peacock"/>
    <s v="Gai pâturage"/>
    <x v="0"/>
    <s v="USA"/>
    <s v="CA"/>
    <s v="San Francisco"/>
    <n v="27.2"/>
    <n v="20"/>
  </r>
  <r>
    <s v="1045"/>
    <x v="32"/>
    <x v="232"/>
    <x v="62"/>
    <s v="Margaret Peacock"/>
    <s v="Plutzer Lebensmittelgroßmärkte AG"/>
    <x v="0"/>
    <s v="USA"/>
    <s v="CA"/>
    <s v="San Francisco"/>
    <n v="26.6"/>
    <n v="50"/>
  </r>
  <r>
    <s v="1045"/>
    <x v="32"/>
    <x v="233"/>
    <x v="33"/>
    <s v="Margaret Peacock"/>
    <s v="Nord-Ost-Fisch Handelsgesellschaft mbH"/>
    <x v="0"/>
    <s v="USA"/>
    <s v="CA"/>
    <s v="San Francisco"/>
    <n v="25.89"/>
    <n v="20"/>
  </r>
  <r>
    <s v="1045"/>
    <x v="32"/>
    <x v="234"/>
    <x v="75"/>
    <s v="Janet Leverling"/>
    <s v="Mayumi's"/>
    <x v="0"/>
    <s v="USA"/>
    <s v="CA"/>
    <s v="San Francisco"/>
    <n v="15.5"/>
    <n v="25"/>
  </r>
  <r>
    <s v="1045"/>
    <x v="32"/>
    <x v="234"/>
    <x v="5"/>
    <s v="Janet Leverling"/>
    <s v="Heli Süßwaren GmbH &amp; Co. KG"/>
    <x v="0"/>
    <s v="USA"/>
    <s v="CA"/>
    <s v="San Francisco"/>
    <n v="31.23"/>
    <n v="5"/>
  </r>
  <r>
    <s v="1045"/>
    <x v="32"/>
    <x v="235"/>
    <x v="35"/>
    <s v="Janet Leverling"/>
    <s v="Gai pâturage"/>
    <x v="0"/>
    <s v="USA"/>
    <s v="CA"/>
    <s v="San Francisco"/>
    <n v="34"/>
    <n v="35"/>
  </r>
  <r>
    <s v="1045"/>
    <x v="32"/>
    <x v="235"/>
    <x v="10"/>
    <s v="Janet Leverling"/>
    <s v="Norske Meierier"/>
    <x v="0"/>
    <s v="USA"/>
    <s v="CA"/>
    <s v="San Francisco"/>
    <n v="2.5"/>
    <n v="30"/>
  </r>
  <r>
    <s v="1045"/>
    <x v="32"/>
    <x v="235"/>
    <x v="60"/>
    <s v="Janet Leverling"/>
    <s v="Formaggi Fortini s.r.l."/>
    <x v="0"/>
    <s v="USA"/>
    <s v="CA"/>
    <s v="San Francisco"/>
    <n v="12.5"/>
    <n v="20"/>
  </r>
  <r>
    <s v="1045"/>
    <x v="32"/>
    <x v="235"/>
    <x v="69"/>
    <s v="Janet Leverling"/>
    <s v="Las Cabras"/>
    <x v="0"/>
    <s v="USA"/>
    <s v="CA"/>
    <s v="San Francisco"/>
    <n v="38"/>
    <n v="15"/>
  </r>
  <r>
    <s v="1045"/>
    <x v="32"/>
    <x v="210"/>
    <x v="70"/>
    <s v="Janet Leverling"/>
    <s v="Grandma Kelly's Homestead"/>
    <x v="1"/>
    <s v="USA"/>
    <s v="CA"/>
    <s v="San Francisco"/>
    <n v="25"/>
    <n v="20"/>
  </r>
  <r>
    <s v="1045"/>
    <x v="32"/>
    <x v="190"/>
    <x v="59"/>
    <s v="Robert King"/>
    <s v="Specialty Biscuits, Ltd."/>
    <x v="0"/>
    <s v="USA"/>
    <s v="CA"/>
    <s v="San Francisco"/>
    <n v="81"/>
    <n v="21"/>
  </r>
  <r>
    <s v="1045"/>
    <x v="32"/>
    <x v="179"/>
    <x v="33"/>
    <s v="Robert King"/>
    <s v="Nord-Ost-Fisch Handelsgesellschaft mbH"/>
    <x v="1"/>
    <s v="USA"/>
    <s v="CA"/>
    <s v="San Francisco"/>
    <n v="25.89"/>
    <n v="15"/>
  </r>
  <r>
    <s v="1045"/>
    <x v="32"/>
    <x v="236"/>
    <x v="27"/>
    <s v="Anne Dodsworth"/>
    <s v="Plutzer Lebensmittelgroßmärkte AG"/>
    <x v="0"/>
    <s v="USA"/>
    <s v="CA"/>
    <s v="San Francisco"/>
    <n v="7.75"/>
    <n v="20"/>
  </r>
  <r>
    <s v="1045"/>
    <x v="32"/>
    <x v="237"/>
    <x v="15"/>
    <s v="Laura Callahan"/>
    <s v="Pavlova, Ltd."/>
    <x v="0"/>
    <s v="USA"/>
    <s v="CA"/>
    <s v="San Francisco"/>
    <n v="31.2"/>
    <n v="15"/>
  </r>
  <r>
    <s v="1045"/>
    <x v="32"/>
    <x v="236"/>
    <x v="62"/>
    <s v="Anne Dodsworth"/>
    <s v="Plutzer Lebensmittelgroßmärkte AG"/>
    <x v="0"/>
    <s v="USA"/>
    <s v="CA"/>
    <s v="San Francisco"/>
    <n v="33.25"/>
    <n v="30"/>
  </r>
  <r>
    <s v="1045"/>
    <x v="32"/>
    <x v="101"/>
    <x v="60"/>
    <s v="Andrew Fuller"/>
    <s v="Formaggi Fortini s.r.l."/>
    <x v="1"/>
    <s v="USA"/>
    <s v="CA"/>
    <s v="San Francisco"/>
    <n v="12.5"/>
    <n v="20"/>
  </r>
  <r>
    <s v="1045"/>
    <x v="32"/>
    <x v="233"/>
    <x v="2"/>
    <s v="Margaret Peacock"/>
    <s v="Grandma Kelly's Homestead"/>
    <x v="0"/>
    <s v="USA"/>
    <s v="CA"/>
    <s v="San Francisco"/>
    <n v="40"/>
    <n v="24"/>
  </r>
  <r>
    <s v="1045"/>
    <x v="32"/>
    <x v="29"/>
    <x v="37"/>
    <s v="Janet Leverling"/>
    <s v="Plutzer Lebensmittelgroßmärkte AG"/>
    <x v="1"/>
    <s v="USA"/>
    <s v="CA"/>
    <s v="San Francisco"/>
    <n v="123.79"/>
    <n v="18"/>
  </r>
  <r>
    <s v="1045"/>
    <x v="32"/>
    <x v="29"/>
    <x v="17"/>
    <s v="Janet Leverling"/>
    <s v="Gai pâturage"/>
    <x v="1"/>
    <s v="USA"/>
    <s v="CA"/>
    <s v="San Francisco"/>
    <n v="55"/>
    <n v="25"/>
  </r>
  <r>
    <s v="1045"/>
    <x v="32"/>
    <x v="190"/>
    <x v="12"/>
    <s v="Robert King"/>
    <s v="Norske Meierier"/>
    <x v="0"/>
    <s v="USA"/>
    <s v="CA"/>
    <s v="San Francisco"/>
    <n v="36"/>
    <n v="20"/>
  </r>
  <r>
    <s v="1045"/>
    <x v="32"/>
    <x v="190"/>
    <x v="40"/>
    <s v="Robert King"/>
    <s v="Karkki Oy"/>
    <x v="0"/>
    <s v="USA"/>
    <s v="CA"/>
    <s v="San Francisco"/>
    <n v="18"/>
    <n v="4"/>
  </r>
  <r>
    <s v="1045"/>
    <x v="32"/>
    <x v="101"/>
    <x v="1"/>
    <s v="Andrew Fuller"/>
    <s v="Pavlova, Ltd."/>
    <x v="1"/>
    <s v="USA"/>
    <s v="CA"/>
    <s v="San Francisco"/>
    <n v="17.45"/>
    <n v="30"/>
  </r>
  <r>
    <s v="1045"/>
    <x v="32"/>
    <x v="101"/>
    <x v="8"/>
    <s v="Andrew Fuller"/>
    <s v="Exotic Liquids"/>
    <x v="1"/>
    <s v="USA"/>
    <s v="CA"/>
    <s v="San Francisco"/>
    <n v="19"/>
    <n v="20"/>
  </r>
  <r>
    <s v="1045"/>
    <x v="32"/>
    <x v="101"/>
    <x v="46"/>
    <s v="Andrew Fuller"/>
    <s v="Exotic Liquids"/>
    <x v="1"/>
    <s v="USA"/>
    <s v="CA"/>
    <s v="San Francisco"/>
    <n v="18"/>
    <n v="40"/>
  </r>
  <r>
    <s v="1045"/>
    <x v="32"/>
    <x v="233"/>
    <x v="76"/>
    <s v="Margaret Peacock"/>
    <s v="New England Seafood Cannery"/>
    <x v="0"/>
    <s v="USA"/>
    <s v="CA"/>
    <s v="San Francisco"/>
    <n v="18.399999999999999"/>
    <n v="25"/>
  </r>
  <r>
    <s v="1045"/>
    <x v="32"/>
    <x v="5"/>
    <x v="50"/>
    <s v="Laura Callahan"/>
    <s v="G'day, Mate"/>
    <x v="1"/>
    <s v="USA"/>
    <s v="CA"/>
    <s v="San Francisco"/>
    <n v="7"/>
    <n v="8"/>
  </r>
  <r>
    <s v="1045"/>
    <x v="32"/>
    <x v="5"/>
    <x v="56"/>
    <s v="Laura Callahan"/>
    <s v="Las Cabras"/>
    <x v="1"/>
    <s v="USA"/>
    <s v="CA"/>
    <s v="San Francisco"/>
    <n v="21"/>
    <n v="25"/>
  </r>
  <r>
    <s v="1045"/>
    <x v="32"/>
    <x v="238"/>
    <x v="22"/>
    <s v="Robert King"/>
    <s v="Pasta Buttini s.r.l."/>
    <x v="0"/>
    <s v="USA"/>
    <s v="CA"/>
    <s v="San Francisco"/>
    <n v="30.4"/>
    <n v="14"/>
  </r>
  <r>
    <s v="1045"/>
    <x v="32"/>
    <x v="238"/>
    <x v="30"/>
    <s v="Robert King"/>
    <s v="Formaggi Fortini s.r.l."/>
    <x v="0"/>
    <s v="USA"/>
    <s v="CA"/>
    <s v="San Francisco"/>
    <n v="27.8"/>
    <n v="25"/>
  </r>
  <r>
    <s v="1045"/>
    <x v="32"/>
    <x v="238"/>
    <x v="16"/>
    <s v="Robert King"/>
    <s v="Plutzer Lebensmittelgroßmärkte AG"/>
    <x v="0"/>
    <s v="USA"/>
    <s v="CA"/>
    <s v="San Francisco"/>
    <n v="10.4"/>
    <n v="25"/>
  </r>
  <r>
    <s v="1045"/>
    <x v="32"/>
    <x v="233"/>
    <x v="46"/>
    <s v="Margaret Peacock"/>
    <s v="Exotic Liquids"/>
    <x v="0"/>
    <s v="USA"/>
    <s v="CA"/>
    <s v="San Francisco"/>
    <n v="18"/>
    <n v="40"/>
  </r>
  <r>
    <s v="1031"/>
    <x v="33"/>
    <x v="34"/>
    <x v="41"/>
    <s v="Andrew Fuller"/>
    <s v="Refrescos Americanas LTDA"/>
    <x v="1"/>
    <s v="Brazil"/>
    <s v="SP"/>
    <s v="Campinas"/>
    <n v="4.5"/>
    <n v="12"/>
  </r>
  <r>
    <s v="1031"/>
    <x v="33"/>
    <x v="28"/>
    <x v="7"/>
    <s v="Robert King"/>
    <s v="Specialty Biscuits, Ltd."/>
    <x v="0"/>
    <s v="Brazil"/>
    <s v="SP"/>
    <s v="Campinas"/>
    <n v="10"/>
    <n v="6"/>
  </r>
  <r>
    <s v="1031"/>
    <x v="33"/>
    <x v="34"/>
    <x v="35"/>
    <s v="Andrew Fuller"/>
    <s v="Gai pâturage"/>
    <x v="1"/>
    <s v="Brazil"/>
    <s v="SP"/>
    <s v="Campinas"/>
    <n v="34"/>
    <n v="9"/>
  </r>
  <r>
    <s v="1031"/>
    <x v="33"/>
    <x v="239"/>
    <x v="71"/>
    <s v="Janet Leverling"/>
    <s v="Karkki Oy"/>
    <x v="1"/>
    <s v="Brazil"/>
    <s v="SP"/>
    <s v="Campinas"/>
    <n v="16.25"/>
    <n v="9"/>
  </r>
  <r>
    <s v="1031"/>
    <x v="33"/>
    <x v="239"/>
    <x v="34"/>
    <s v="Janet Leverling"/>
    <s v="G'day, Mate"/>
    <x v="1"/>
    <s v="Brazil"/>
    <s v="SP"/>
    <s v="Campinas"/>
    <n v="53"/>
    <n v="40"/>
  </r>
  <r>
    <s v="1031"/>
    <x v="33"/>
    <x v="239"/>
    <x v="63"/>
    <s v="Janet Leverling"/>
    <s v="Ma Maison"/>
    <x v="1"/>
    <s v="Brazil"/>
    <s v="SP"/>
    <s v="Campinas"/>
    <n v="24"/>
    <n v="4"/>
  </r>
  <r>
    <s v="1031"/>
    <x v="33"/>
    <x v="213"/>
    <x v="32"/>
    <s v="Robert King"/>
    <s v="Specialty Biscuits, Ltd."/>
    <x v="0"/>
    <s v="Brazil"/>
    <s v="SP"/>
    <s v="Campinas"/>
    <n v="10"/>
    <n v="15"/>
  </r>
  <r>
    <s v="1031"/>
    <x v="33"/>
    <x v="213"/>
    <x v="39"/>
    <s v="Robert King"/>
    <s v="New Orleans Cajun Delights"/>
    <x v="0"/>
    <s v="Brazil"/>
    <s v="SP"/>
    <s v="Campinas"/>
    <n v="16.8"/>
    <n v="30"/>
  </r>
  <r>
    <s v="1031"/>
    <x v="33"/>
    <x v="213"/>
    <x v="76"/>
    <s v="Robert King"/>
    <s v="New England Seafood Cannery"/>
    <x v="0"/>
    <s v="Brazil"/>
    <s v="SP"/>
    <s v="Campinas"/>
    <n v="14.7"/>
    <n v="40"/>
  </r>
  <r>
    <s v="1031"/>
    <x v="33"/>
    <x v="60"/>
    <x v="8"/>
    <s v="Nancy Davolio"/>
    <s v="Exotic Liquids"/>
    <x v="1"/>
    <s v="Brazil"/>
    <s v="SP"/>
    <s v="Campinas"/>
    <n v="19"/>
    <n v="20"/>
  </r>
  <r>
    <s v="1031"/>
    <x v="33"/>
    <x v="60"/>
    <x v="32"/>
    <s v="Nancy Davolio"/>
    <s v="Specialty Biscuits, Ltd."/>
    <x v="1"/>
    <s v="Brazil"/>
    <s v="SP"/>
    <s v="Campinas"/>
    <n v="12.5"/>
    <n v="18"/>
  </r>
  <r>
    <s v="1031"/>
    <x v="33"/>
    <x v="28"/>
    <x v="4"/>
    <s v="Robert King"/>
    <s v="Forêts d'érables"/>
    <x v="0"/>
    <s v="Brazil"/>
    <s v="SP"/>
    <s v="Campinas"/>
    <n v="28.5"/>
    <n v="10"/>
  </r>
  <r>
    <s v="1031"/>
    <x v="33"/>
    <x v="28"/>
    <x v="23"/>
    <s v="Robert King"/>
    <s v="Specialty Biscuits, Ltd."/>
    <x v="0"/>
    <s v="Brazil"/>
    <s v="SP"/>
    <s v="Campinas"/>
    <n v="9.1999999999999993"/>
    <n v="10"/>
  </r>
  <r>
    <s v="1031"/>
    <x v="33"/>
    <x v="109"/>
    <x v="46"/>
    <s v="Janet Leverling"/>
    <s v="Exotic Liquids"/>
    <x v="1"/>
    <s v="Brazil"/>
    <s v="SP"/>
    <s v="Campinas"/>
    <n v="18"/>
    <n v="10"/>
  </r>
  <r>
    <s v="1031"/>
    <x v="33"/>
    <x v="240"/>
    <x v="62"/>
    <s v="Steven Buchanan"/>
    <s v="Plutzer Lebensmittelgroßmärkte AG"/>
    <x v="1"/>
    <s v="Brazil"/>
    <s v="SP"/>
    <s v="Campinas"/>
    <n v="33.25"/>
    <n v="15"/>
  </r>
  <r>
    <s v="1031"/>
    <x v="33"/>
    <x v="109"/>
    <x v="73"/>
    <s v="Janet Leverling"/>
    <s v="Bigfoot Breweries"/>
    <x v="1"/>
    <s v="Brazil"/>
    <s v="SP"/>
    <s v="Campinas"/>
    <n v="14"/>
    <n v="15"/>
  </r>
  <r>
    <s v="1031"/>
    <x v="33"/>
    <x v="241"/>
    <x v="37"/>
    <s v="Margaret Peacock"/>
    <s v="Plutzer Lebensmittelgroßmärkte AG"/>
    <x v="0"/>
    <s v="Brazil"/>
    <s v="SP"/>
    <s v="Campinas"/>
    <n v="123.79"/>
    <n v="20"/>
  </r>
  <r>
    <s v="1031"/>
    <x v="33"/>
    <x v="241"/>
    <x v="62"/>
    <s v="Margaret Peacock"/>
    <s v="Plutzer Lebensmittelgroßmärkte AG"/>
    <x v="0"/>
    <s v="Brazil"/>
    <s v="SP"/>
    <s v="Campinas"/>
    <n v="33.25"/>
    <n v="9"/>
  </r>
  <r>
    <s v="1031"/>
    <x v="33"/>
    <x v="34"/>
    <x v="19"/>
    <s v="Andrew Fuller"/>
    <s v="Svensk Sjöföda AB"/>
    <x v="1"/>
    <s v="Brazil"/>
    <s v="SP"/>
    <s v="Campinas"/>
    <n v="19"/>
    <n v="18"/>
  </r>
  <r>
    <s v="1031"/>
    <x v="33"/>
    <x v="242"/>
    <x v="47"/>
    <s v="Robert King"/>
    <s v="Pavlova, Ltd."/>
    <x v="1"/>
    <s v="Brazil"/>
    <s v="SP"/>
    <s v="Campinas"/>
    <n v="15"/>
    <n v="4"/>
  </r>
  <r>
    <s v="1031"/>
    <x v="33"/>
    <x v="118"/>
    <x v="43"/>
    <s v="Steven Buchanan"/>
    <s v="Tokyo Traders"/>
    <x v="1"/>
    <s v="Brazil"/>
    <s v="SP"/>
    <s v="Campinas"/>
    <n v="31"/>
    <n v="10"/>
  </r>
  <r>
    <s v="1031"/>
    <x v="33"/>
    <x v="240"/>
    <x v="39"/>
    <s v="Steven Buchanan"/>
    <s v="New Orleans Cajun Delights"/>
    <x v="1"/>
    <s v="Brazil"/>
    <s v="SP"/>
    <s v="Campinas"/>
    <n v="21.05"/>
    <n v="21"/>
  </r>
  <r>
    <s v="1031"/>
    <x v="33"/>
    <x v="109"/>
    <x v="15"/>
    <s v="Janet Leverling"/>
    <s v="Pavlova, Ltd."/>
    <x v="1"/>
    <s v="Brazil"/>
    <s v="SP"/>
    <s v="Campinas"/>
    <n v="39"/>
    <n v="12"/>
  </r>
  <r>
    <s v="1031"/>
    <x v="33"/>
    <x v="240"/>
    <x v="63"/>
    <s v="Steven Buchanan"/>
    <s v="Ma Maison"/>
    <x v="1"/>
    <s v="Brazil"/>
    <s v="SP"/>
    <s v="Campinas"/>
    <n v="24"/>
    <n v="10"/>
  </r>
  <r>
    <s v="1031"/>
    <x v="33"/>
    <x v="28"/>
    <x v="15"/>
    <s v="Robert King"/>
    <s v="Pavlova, Ltd."/>
    <x v="0"/>
    <s v="Brazil"/>
    <s v="SP"/>
    <s v="Campinas"/>
    <n v="39"/>
    <n v="8"/>
  </r>
  <r>
    <s v="1031"/>
    <x v="33"/>
    <x v="240"/>
    <x v="9"/>
    <s v="Steven Buchanan"/>
    <s v="Forêts d'érables"/>
    <x v="1"/>
    <s v="Brazil"/>
    <s v="SP"/>
    <s v="Campinas"/>
    <n v="49.3"/>
    <n v="20"/>
  </r>
  <r>
    <s v="1077"/>
    <x v="34"/>
    <x v="243"/>
    <x v="63"/>
    <s v="Margaret Peacock"/>
    <s v="Ma Maison"/>
    <x v="1"/>
    <s v="USA"/>
    <s v="OR"/>
    <s v="Portland"/>
    <n v="24"/>
    <n v="25"/>
  </r>
  <r>
    <s v="1077"/>
    <x v="34"/>
    <x v="243"/>
    <x v="7"/>
    <s v="Margaret Peacock"/>
    <s v="Specialty Biscuits, Ltd."/>
    <x v="1"/>
    <s v="USA"/>
    <s v="OR"/>
    <s v="Portland"/>
    <n v="10"/>
    <n v="36"/>
  </r>
  <r>
    <s v="1077"/>
    <x v="34"/>
    <x v="244"/>
    <x v="5"/>
    <s v="Robert King"/>
    <s v="Heli Süßwaren GmbH &amp; Co. KG"/>
    <x v="0"/>
    <s v="USA"/>
    <s v="OR"/>
    <s v="Portland"/>
    <n v="24.9"/>
    <n v="30"/>
  </r>
  <r>
    <s v="1077"/>
    <x v="34"/>
    <x v="191"/>
    <x v="0"/>
    <s v="Andrew Fuller"/>
    <s v="Ma Maison"/>
    <x v="1"/>
    <s v="USA"/>
    <s v="OR"/>
    <s v="Portland"/>
    <n v="7.45"/>
    <n v="10"/>
  </r>
  <r>
    <s v="1077"/>
    <x v="34"/>
    <x v="191"/>
    <x v="13"/>
    <s v="Andrew Fuller"/>
    <s v="Bigfoot Breweries"/>
    <x v="1"/>
    <s v="USA"/>
    <s v="OR"/>
    <s v="Portland"/>
    <n v="18"/>
    <n v="60"/>
  </r>
  <r>
    <s v="1077"/>
    <x v="34"/>
    <x v="191"/>
    <x v="45"/>
    <s v="Andrew Fuller"/>
    <s v="Leka Trading"/>
    <x v="1"/>
    <s v="USA"/>
    <s v="OR"/>
    <s v="Portland"/>
    <n v="14"/>
    <n v="30"/>
  </r>
  <r>
    <s v="1077"/>
    <x v="34"/>
    <x v="242"/>
    <x v="76"/>
    <s v="Nancy Davolio"/>
    <s v="New England Seafood Cannery"/>
    <x v="1"/>
    <s v="USA"/>
    <s v="OR"/>
    <s v="Portland"/>
    <n v="18.399999999999999"/>
    <n v="5"/>
  </r>
  <r>
    <s v="1077"/>
    <x v="34"/>
    <x v="244"/>
    <x v="51"/>
    <s v="Robert King"/>
    <s v="Norske Meierier"/>
    <x v="0"/>
    <s v="USA"/>
    <s v="OR"/>
    <s v="Portland"/>
    <n v="17.2"/>
    <n v="50"/>
  </r>
  <r>
    <s v="1077"/>
    <x v="34"/>
    <x v="191"/>
    <x v="46"/>
    <s v="Andrew Fuller"/>
    <s v="Exotic Liquids"/>
    <x v="1"/>
    <s v="USA"/>
    <s v="OR"/>
    <s v="Portland"/>
    <n v="18"/>
    <n v="10"/>
  </r>
  <r>
    <s v="1077"/>
    <x v="34"/>
    <x v="245"/>
    <x v="74"/>
    <s v="Andrew Fuller"/>
    <s v="Tokyo Traders"/>
    <x v="1"/>
    <s v="USA"/>
    <s v="OR"/>
    <s v="Portland"/>
    <n v="10"/>
    <n v="20"/>
  </r>
  <r>
    <s v="1077"/>
    <x v="34"/>
    <x v="242"/>
    <x v="50"/>
    <s v="Nancy Davolio"/>
    <s v="G'day, Mate"/>
    <x v="1"/>
    <s v="USA"/>
    <s v="OR"/>
    <s v="Portland"/>
    <n v="7"/>
    <n v="2"/>
  </r>
  <r>
    <s v="1077"/>
    <x v="34"/>
    <x v="242"/>
    <x v="51"/>
    <s v="Nancy Davolio"/>
    <s v="Norske Meierier"/>
    <x v="1"/>
    <s v="USA"/>
    <s v="OR"/>
    <s v="Portland"/>
    <n v="21.5"/>
    <n v="30"/>
  </r>
  <r>
    <s v="1077"/>
    <x v="34"/>
    <x v="246"/>
    <x v="60"/>
    <s v="Anne Dodsworth"/>
    <s v="Formaggi Fortini s.r.l."/>
    <x v="0"/>
    <s v="USA"/>
    <s v="OR"/>
    <s v="Portland"/>
    <n v="10"/>
    <n v="35"/>
  </r>
  <r>
    <s v="1077"/>
    <x v="34"/>
    <x v="247"/>
    <x v="45"/>
    <s v="Margaret Peacock"/>
    <s v="Leka Trading"/>
    <x v="1"/>
    <s v="USA"/>
    <s v="OR"/>
    <s v="Portland"/>
    <n v="14"/>
    <n v="2"/>
  </r>
  <r>
    <s v="1077"/>
    <x v="34"/>
    <x v="246"/>
    <x v="67"/>
    <s v="Anne Dodsworth"/>
    <s v="New Orleans Cajun Delights"/>
    <x v="0"/>
    <s v="USA"/>
    <s v="OR"/>
    <s v="Portland"/>
    <n v="13.6"/>
    <n v="60"/>
  </r>
  <r>
    <s v="1077"/>
    <x v="34"/>
    <x v="246"/>
    <x v="40"/>
    <s v="Anne Dodsworth"/>
    <s v="Karkki Oy"/>
    <x v="0"/>
    <s v="USA"/>
    <s v="OR"/>
    <s v="Portland"/>
    <n v="14.4"/>
    <n v="42"/>
  </r>
  <r>
    <s v="1077"/>
    <x v="34"/>
    <x v="244"/>
    <x v="38"/>
    <s v="Robert King"/>
    <s v="Leka Trading"/>
    <x v="0"/>
    <s v="USA"/>
    <s v="OR"/>
    <s v="Portland"/>
    <n v="36.799999999999997"/>
    <n v="20"/>
  </r>
  <r>
    <s v="1077"/>
    <x v="34"/>
    <x v="245"/>
    <x v="47"/>
    <s v="Andrew Fuller"/>
    <s v="Pavlova, Ltd."/>
    <x v="1"/>
    <s v="USA"/>
    <s v="OR"/>
    <s v="Portland"/>
    <n v="15"/>
    <n v="30"/>
  </r>
  <r>
    <s v="1077"/>
    <x v="34"/>
    <x v="248"/>
    <x v="43"/>
    <s v="Steven Buchanan"/>
    <s v="Tokyo Traders"/>
    <x v="1"/>
    <s v="USA"/>
    <s v="OR"/>
    <s v="Portland"/>
    <n v="31"/>
    <n v="16"/>
  </r>
  <r>
    <s v="1077"/>
    <x v="34"/>
    <x v="213"/>
    <x v="38"/>
    <s v="Margaret Peacock"/>
    <s v="Leka Trading"/>
    <x v="0"/>
    <s v="USA"/>
    <s v="OR"/>
    <s v="Portland"/>
    <n v="36.799999999999997"/>
    <n v="12"/>
  </r>
  <r>
    <s v="1077"/>
    <x v="34"/>
    <x v="213"/>
    <x v="31"/>
    <s v="Margaret Peacock"/>
    <s v="Plutzer Lebensmittelgroßmärkte AG"/>
    <x v="0"/>
    <s v="USA"/>
    <s v="OR"/>
    <s v="Portland"/>
    <n v="36.4"/>
    <n v="28"/>
  </r>
  <r>
    <s v="1077"/>
    <x v="34"/>
    <x v="213"/>
    <x v="15"/>
    <s v="Margaret Peacock"/>
    <s v="Pavlova, Ltd."/>
    <x v="0"/>
    <s v="USA"/>
    <s v="OR"/>
    <s v="Portland"/>
    <n v="31.2"/>
    <n v="40"/>
  </r>
  <r>
    <s v="1077"/>
    <x v="34"/>
    <x v="243"/>
    <x v="65"/>
    <s v="Margaret Peacock"/>
    <s v="Heli Süßwaren GmbH &amp; Co. KG"/>
    <x v="1"/>
    <s v="USA"/>
    <s v="OR"/>
    <s v="Portland"/>
    <n v="43.9"/>
    <n v="25"/>
  </r>
  <r>
    <s v="1077"/>
    <x v="34"/>
    <x v="244"/>
    <x v="22"/>
    <s v="Robert King"/>
    <s v="Pasta Buttini s.r.l."/>
    <x v="0"/>
    <s v="USA"/>
    <s v="OR"/>
    <s v="Portland"/>
    <n v="30.4"/>
    <n v="15"/>
  </r>
  <r>
    <s v="1077"/>
    <x v="34"/>
    <x v="24"/>
    <x v="23"/>
    <s v="Steven Buchanan"/>
    <s v="Specialty Biscuits, Ltd."/>
    <x v="0"/>
    <s v="USA"/>
    <s v="OR"/>
    <s v="Portland"/>
    <n v="7.3"/>
    <n v="21"/>
  </r>
  <r>
    <s v="1077"/>
    <x v="34"/>
    <x v="244"/>
    <x v="31"/>
    <s v="Robert King"/>
    <s v="Plutzer Lebensmittelgroßmärkte AG"/>
    <x v="0"/>
    <s v="USA"/>
    <s v="OR"/>
    <s v="Portland"/>
    <n v="36.4"/>
    <n v="30"/>
  </r>
  <r>
    <s v="1077"/>
    <x v="34"/>
    <x v="245"/>
    <x v="3"/>
    <s v="Andrew Fuller"/>
    <s v="New Orleans Cajun Delights"/>
    <x v="1"/>
    <s v="USA"/>
    <s v="OR"/>
    <s v="Portland"/>
    <n v="22"/>
    <n v="21"/>
  </r>
  <r>
    <s v="1077"/>
    <x v="34"/>
    <x v="46"/>
    <x v="41"/>
    <s v="Michael Suyama"/>
    <s v="Refrescos Americanas LTDA"/>
    <x v="1"/>
    <s v="USA"/>
    <s v="OR"/>
    <s v="Portland"/>
    <n v="4.5"/>
    <n v="12"/>
  </r>
  <r>
    <s v="1077"/>
    <x v="34"/>
    <x v="249"/>
    <x v="59"/>
    <s v="Margaret Peacock"/>
    <s v="Specialty Biscuits, Ltd."/>
    <x v="0"/>
    <s v="USA"/>
    <s v="OR"/>
    <s v="Portland"/>
    <n v="64.8"/>
    <n v="40"/>
  </r>
  <r>
    <s v="1077"/>
    <x v="34"/>
    <x v="249"/>
    <x v="35"/>
    <s v="Margaret Peacock"/>
    <s v="Gai pâturage"/>
    <x v="0"/>
    <s v="USA"/>
    <s v="OR"/>
    <s v="Portland"/>
    <n v="27.2"/>
    <n v="40"/>
  </r>
  <r>
    <s v="1077"/>
    <x v="34"/>
    <x v="46"/>
    <x v="16"/>
    <s v="Michael Suyama"/>
    <s v="Plutzer Lebensmittelgroßmärkte AG"/>
    <x v="1"/>
    <s v="USA"/>
    <s v="OR"/>
    <s v="Portland"/>
    <n v="13"/>
    <n v="25"/>
  </r>
  <r>
    <s v="1077"/>
    <x v="34"/>
    <x v="46"/>
    <x v="47"/>
    <s v="Michael Suyama"/>
    <s v="Pavlova, Ltd."/>
    <x v="1"/>
    <s v="USA"/>
    <s v="OR"/>
    <s v="Portland"/>
    <n v="15"/>
    <n v="30"/>
  </r>
  <r>
    <s v="1077"/>
    <x v="34"/>
    <x v="248"/>
    <x v="16"/>
    <s v="Steven Buchanan"/>
    <s v="Plutzer Lebensmittelgroßmärkte AG"/>
    <x v="1"/>
    <s v="USA"/>
    <s v="OR"/>
    <s v="Portland"/>
    <n v="13"/>
    <n v="15"/>
  </r>
  <r>
    <s v="1077"/>
    <x v="34"/>
    <x v="46"/>
    <x v="8"/>
    <s v="Michael Suyama"/>
    <s v="Exotic Liquids"/>
    <x v="1"/>
    <s v="USA"/>
    <s v="OR"/>
    <s v="Portland"/>
    <n v="19"/>
    <n v="20"/>
  </r>
  <r>
    <s v="1077"/>
    <x v="34"/>
    <x v="248"/>
    <x v="17"/>
    <s v="Steven Buchanan"/>
    <s v="Gai pâturage"/>
    <x v="1"/>
    <s v="USA"/>
    <s v="OR"/>
    <s v="Portland"/>
    <n v="55"/>
    <n v="50"/>
  </r>
  <r>
    <s v="1077"/>
    <x v="34"/>
    <x v="248"/>
    <x v="22"/>
    <s v="Steven Buchanan"/>
    <s v="Pasta Buttini s.r.l."/>
    <x v="1"/>
    <s v="USA"/>
    <s v="OR"/>
    <s v="Portland"/>
    <n v="38"/>
    <n v="30"/>
  </r>
  <r>
    <s v="1077"/>
    <x v="34"/>
    <x v="243"/>
    <x v="25"/>
    <s v="Margaret Peacock"/>
    <s v="Escargots Nouveaux"/>
    <x v="1"/>
    <s v="USA"/>
    <s v="OR"/>
    <s v="Portland"/>
    <n v="13.25"/>
    <n v="30"/>
  </r>
  <r>
    <s v="1077"/>
    <x v="34"/>
    <x v="24"/>
    <x v="45"/>
    <s v="Steven Buchanan"/>
    <s v="Leka Trading"/>
    <x v="0"/>
    <s v="USA"/>
    <s v="OR"/>
    <s v="Portland"/>
    <n v="11.2"/>
    <n v="50"/>
  </r>
  <r>
    <s v="1077"/>
    <x v="34"/>
    <x v="249"/>
    <x v="10"/>
    <s v="Margaret Peacock"/>
    <s v="Norske Meierier"/>
    <x v="0"/>
    <s v="USA"/>
    <s v="OR"/>
    <s v="Portland"/>
    <n v="2"/>
    <n v="25"/>
  </r>
  <r>
    <s v="1064"/>
    <x v="35"/>
    <x v="250"/>
    <x v="39"/>
    <s v="Margaret Peacock"/>
    <s v="New Orleans Cajun Delights"/>
    <x v="0"/>
    <s v="Argentina"/>
    <m/>
    <s v="Buenos Aires"/>
    <n v="16.8"/>
    <n v="28"/>
  </r>
  <r>
    <s v="1064"/>
    <x v="35"/>
    <x v="250"/>
    <x v="16"/>
    <s v="Margaret Peacock"/>
    <s v="Plutzer Lebensmittelgroßmärkte AG"/>
    <x v="0"/>
    <s v="Argentina"/>
    <m/>
    <s v="Buenos Aires"/>
    <n v="10.4"/>
    <n v="55"/>
  </r>
  <r>
    <s v="1064"/>
    <x v="35"/>
    <x v="86"/>
    <x v="18"/>
    <s v="Andrew Fuller"/>
    <s v="Aux joyeux ecclésiastiques"/>
    <x v="1"/>
    <s v="Argentina"/>
    <m/>
    <s v="Buenos Aires"/>
    <n v="263.5"/>
    <n v="60"/>
  </r>
  <r>
    <s v="1064"/>
    <x v="35"/>
    <x v="86"/>
    <x v="44"/>
    <s v="Andrew Fuller"/>
    <s v="Aux joyeux ecclésiastiques"/>
    <x v="1"/>
    <s v="Argentina"/>
    <m/>
    <s v="Buenos Aires"/>
    <n v="18"/>
    <n v="80"/>
  </r>
  <r>
    <s v="1064"/>
    <x v="35"/>
    <x v="251"/>
    <x v="14"/>
    <s v="Andrew Fuller"/>
    <s v="Tokyo Traders"/>
    <x v="0"/>
    <s v="Argentina"/>
    <m/>
    <s v="Buenos Aires"/>
    <n v="97"/>
    <n v="16"/>
  </r>
  <r>
    <s v="1064"/>
    <x v="35"/>
    <x v="251"/>
    <x v="1"/>
    <s v="Andrew Fuller"/>
    <s v="Pavlova, Ltd."/>
    <x v="0"/>
    <s v="Argentina"/>
    <m/>
    <s v="Buenos Aires"/>
    <n v="17.45"/>
    <n v="50"/>
  </r>
  <r>
    <s v="1064"/>
    <x v="35"/>
    <x v="251"/>
    <x v="65"/>
    <s v="Andrew Fuller"/>
    <s v="Heli Süßwaren GmbH &amp; Co. KG"/>
    <x v="0"/>
    <s v="Argentina"/>
    <m/>
    <s v="Buenos Aires"/>
    <n v="43.9"/>
    <n v="120"/>
  </r>
  <r>
    <s v="1064"/>
    <x v="35"/>
    <x v="251"/>
    <x v="35"/>
    <s v="Andrew Fuller"/>
    <s v="Gai pâturage"/>
    <x v="0"/>
    <s v="Argentina"/>
    <m/>
    <s v="Buenos Aires"/>
    <n v="34"/>
    <n v="84"/>
  </r>
  <r>
    <s v="1064"/>
    <x v="35"/>
    <x v="252"/>
    <x v="40"/>
    <s v="Janet Leverling"/>
    <s v="Karkki Oy"/>
    <x v="0"/>
    <s v="Argentina"/>
    <m/>
    <s v="Buenos Aires"/>
    <n v="14.4"/>
    <n v="33"/>
  </r>
  <r>
    <s v="1064"/>
    <x v="35"/>
    <x v="250"/>
    <x v="62"/>
    <s v="Margaret Peacock"/>
    <s v="Plutzer Lebensmittelgroßmärkte AG"/>
    <x v="0"/>
    <s v="Argentina"/>
    <m/>
    <s v="Buenos Aires"/>
    <n v="26.6"/>
    <n v="35"/>
  </r>
  <r>
    <s v="1064"/>
    <x v="35"/>
    <x v="30"/>
    <x v="12"/>
    <s v="Laura Callahan"/>
    <s v="Norske Meierier"/>
    <x v="1"/>
    <s v="Argentina"/>
    <m/>
    <s v="Buenos Aires"/>
    <n v="36"/>
    <n v="9"/>
  </r>
  <r>
    <s v="1064"/>
    <x v="35"/>
    <x v="247"/>
    <x v="7"/>
    <s v="Margaret Peacock"/>
    <s v="Specialty Biscuits, Ltd."/>
    <x v="0"/>
    <s v="Argentina"/>
    <m/>
    <s v="Buenos Aires"/>
    <n v="10"/>
    <n v="60"/>
  </r>
  <r>
    <s v="1064"/>
    <x v="35"/>
    <x v="214"/>
    <x v="19"/>
    <s v="Andrew Fuller"/>
    <s v="Svensk Sjöföda AB"/>
    <x v="0"/>
    <s v="Argentina"/>
    <m/>
    <s v="Buenos Aires"/>
    <n v="15.2"/>
    <n v="12"/>
  </r>
  <r>
    <s v="1064"/>
    <x v="35"/>
    <x v="247"/>
    <x v="76"/>
    <s v="Margaret Peacock"/>
    <s v="New England Seafood Cannery"/>
    <x v="0"/>
    <s v="Argentina"/>
    <m/>
    <s v="Buenos Aires"/>
    <n v="18.399999999999999"/>
    <n v="70"/>
  </r>
  <r>
    <s v="1064"/>
    <x v="35"/>
    <x v="247"/>
    <x v="35"/>
    <s v="Margaret Peacock"/>
    <s v="Gai pâturage"/>
    <x v="0"/>
    <s v="Argentina"/>
    <m/>
    <s v="Buenos Aires"/>
    <n v="34"/>
    <n v="55"/>
  </r>
  <r>
    <s v="1064"/>
    <x v="35"/>
    <x v="247"/>
    <x v="16"/>
    <s v="Margaret Peacock"/>
    <s v="Plutzer Lebensmittelgroßmärkte AG"/>
    <x v="0"/>
    <s v="Argentina"/>
    <m/>
    <s v="Buenos Aires"/>
    <n v="13"/>
    <n v="70"/>
  </r>
  <r>
    <s v="1064"/>
    <x v="35"/>
    <x v="251"/>
    <x v="10"/>
    <s v="Andrew Fuller"/>
    <s v="Norske Meierier"/>
    <x v="0"/>
    <s v="Argentina"/>
    <m/>
    <s v="Buenos Aires"/>
    <n v="2.5"/>
    <n v="16"/>
  </r>
  <r>
    <s v="1064"/>
    <x v="35"/>
    <x v="219"/>
    <x v="13"/>
    <s v="Laura Callahan"/>
    <s v="Bigfoot Breweries"/>
    <x v="1"/>
    <s v="Argentina"/>
    <m/>
    <s v="Buenos Aires"/>
    <n v="18"/>
    <n v="25"/>
  </r>
  <r>
    <s v="1064"/>
    <x v="35"/>
    <x v="253"/>
    <x v="35"/>
    <s v="Nancy Davolio"/>
    <s v="Gai pâturage"/>
    <x v="0"/>
    <s v="Argentina"/>
    <m/>
    <s v="Buenos Aires"/>
    <n v="27.2"/>
    <n v="55"/>
  </r>
  <r>
    <s v="1064"/>
    <x v="35"/>
    <x v="0"/>
    <x v="47"/>
    <s v="Laura Callahan"/>
    <s v="Pavlova, Ltd."/>
    <x v="0"/>
    <s v="Argentina"/>
    <m/>
    <s v="Buenos Aires"/>
    <n v="15"/>
    <n v="50"/>
  </r>
  <r>
    <s v="1064"/>
    <x v="35"/>
    <x v="0"/>
    <x v="17"/>
    <s v="Laura Callahan"/>
    <s v="Gai pâturage"/>
    <x v="0"/>
    <s v="Argentina"/>
    <m/>
    <s v="Buenos Aires"/>
    <n v="55"/>
    <n v="25"/>
  </r>
  <r>
    <s v="1064"/>
    <x v="35"/>
    <x v="0"/>
    <x v="36"/>
    <s v="Laura Callahan"/>
    <s v="Grandma Kelly's Homestead"/>
    <x v="0"/>
    <s v="Argentina"/>
    <m/>
    <s v="Buenos Aires"/>
    <n v="30"/>
    <n v="90"/>
  </r>
  <r>
    <s v="1064"/>
    <x v="35"/>
    <x v="253"/>
    <x v="44"/>
    <s v="Nancy Davolio"/>
    <s v="Aux joyeux ecclésiastiques"/>
    <x v="0"/>
    <s v="Argentina"/>
    <m/>
    <s v="Buenos Aires"/>
    <n v="14.4"/>
    <n v="54"/>
  </r>
  <r>
    <s v="1064"/>
    <x v="35"/>
    <x v="254"/>
    <x v="27"/>
    <s v="Nancy Davolio"/>
    <s v="Plutzer Lebensmittelgroßmärkte AG"/>
    <x v="1"/>
    <s v="Argentina"/>
    <m/>
    <s v="Buenos Aires"/>
    <n v="7.75"/>
    <n v="40"/>
  </r>
  <r>
    <s v="1064"/>
    <x v="35"/>
    <x v="254"/>
    <x v="23"/>
    <s v="Nancy Davolio"/>
    <s v="Specialty Biscuits, Ltd."/>
    <x v="1"/>
    <s v="Argentina"/>
    <m/>
    <s v="Buenos Aires"/>
    <n v="9.1999999999999993"/>
    <n v="50"/>
  </r>
  <r>
    <s v="1064"/>
    <x v="35"/>
    <x v="255"/>
    <x v="29"/>
    <s v="Steven Buchanan"/>
    <s v="Leka Trading"/>
    <x v="0"/>
    <s v="Argentina"/>
    <m/>
    <s v="Buenos Aires"/>
    <n v="19.45"/>
    <n v="50"/>
  </r>
  <r>
    <s v="1064"/>
    <x v="35"/>
    <x v="219"/>
    <x v="62"/>
    <s v="Laura Callahan"/>
    <s v="Plutzer Lebensmittelgroßmärkte AG"/>
    <x v="1"/>
    <s v="Argentina"/>
    <m/>
    <s v="Buenos Aires"/>
    <n v="33.25"/>
    <n v="48"/>
  </r>
  <r>
    <s v="1064"/>
    <x v="35"/>
    <x v="30"/>
    <x v="54"/>
    <s v="Laura Callahan"/>
    <s v="Mayumi's"/>
    <x v="1"/>
    <s v="Argentina"/>
    <m/>
    <s v="Buenos Aires"/>
    <n v="6"/>
    <n v="77"/>
  </r>
  <r>
    <s v="1064"/>
    <x v="35"/>
    <x v="219"/>
    <x v="45"/>
    <s v="Laura Callahan"/>
    <s v="Leka Trading"/>
    <x v="1"/>
    <s v="Argentina"/>
    <m/>
    <s v="Buenos Aires"/>
    <n v="14"/>
    <n v="42"/>
  </r>
  <r>
    <s v="1064"/>
    <x v="35"/>
    <x v="250"/>
    <x v="63"/>
    <s v="Margaret Peacock"/>
    <s v="Ma Maison"/>
    <x v="0"/>
    <s v="Argentina"/>
    <m/>
    <s v="Buenos Aires"/>
    <n v="19.2"/>
    <n v="120"/>
  </r>
  <r>
    <s v="1064"/>
    <x v="35"/>
    <x v="219"/>
    <x v="55"/>
    <s v="Laura Callahan"/>
    <s v="PB Knäckebröd AB"/>
    <x v="1"/>
    <s v="Argentina"/>
    <m/>
    <s v="Buenos Aires"/>
    <n v="9"/>
    <n v="70"/>
  </r>
  <r>
    <s v="1064"/>
    <x v="35"/>
    <x v="256"/>
    <x v="9"/>
    <s v="Laura Callahan"/>
    <s v="Forêts d'érables"/>
    <x v="0"/>
    <s v="Argentina"/>
    <m/>
    <s v="Buenos Aires"/>
    <n v="39.4"/>
    <n v="40"/>
  </r>
  <r>
    <s v="1064"/>
    <x v="35"/>
    <x v="256"/>
    <x v="13"/>
    <s v="Laura Callahan"/>
    <s v="Bigfoot Breweries"/>
    <x v="0"/>
    <s v="Argentina"/>
    <m/>
    <s v="Buenos Aires"/>
    <n v="14.4"/>
    <n v="100"/>
  </r>
  <r>
    <s v="1064"/>
    <x v="35"/>
    <x v="257"/>
    <x v="46"/>
    <s v="Nancy Davolio"/>
    <s v="Exotic Liquids"/>
    <x v="0"/>
    <s v="Argentina"/>
    <m/>
    <s v="Buenos Aires"/>
    <n v="14.4"/>
    <n v="45"/>
  </r>
  <r>
    <s v="1064"/>
    <x v="35"/>
    <x v="257"/>
    <x v="76"/>
    <s v="Nancy Davolio"/>
    <s v="New England Seafood Cannery"/>
    <x v="0"/>
    <s v="Argentina"/>
    <m/>
    <s v="Buenos Aires"/>
    <n v="14.7"/>
    <n v="40"/>
  </r>
  <r>
    <s v="1064"/>
    <x v="35"/>
    <x v="257"/>
    <x v="6"/>
    <s v="Nancy Davolio"/>
    <s v="G'day, Mate"/>
    <x v="0"/>
    <s v="Argentina"/>
    <m/>
    <s v="Buenos Aires"/>
    <n v="26.2"/>
    <n v="36"/>
  </r>
  <r>
    <s v="1064"/>
    <x v="35"/>
    <x v="30"/>
    <x v="40"/>
    <s v="Laura Callahan"/>
    <s v="Karkki Oy"/>
    <x v="1"/>
    <s v="Argentina"/>
    <m/>
    <s v="Buenos Aires"/>
    <n v="18"/>
    <n v="44"/>
  </r>
  <r>
    <s v="1064"/>
    <x v="35"/>
    <x v="30"/>
    <x v="6"/>
    <s v="Laura Callahan"/>
    <s v="G'day, Mate"/>
    <x v="1"/>
    <s v="Argentina"/>
    <m/>
    <s v="Buenos Aires"/>
    <n v="32.799999999999997"/>
    <n v="20"/>
  </r>
  <r>
    <s v="1064"/>
    <x v="35"/>
    <x v="252"/>
    <x v="76"/>
    <s v="Janet Leverling"/>
    <s v="New England Seafood Cannery"/>
    <x v="0"/>
    <s v="Argentina"/>
    <m/>
    <s v="Buenos Aires"/>
    <n v="14.7"/>
    <n v="60"/>
  </r>
  <r>
    <s v="1064"/>
    <x v="35"/>
    <x v="30"/>
    <x v="36"/>
    <s v="Laura Callahan"/>
    <s v="Grandma Kelly's Homestead"/>
    <x v="1"/>
    <s v="Argentina"/>
    <m/>
    <s v="Buenos Aires"/>
    <n v="30"/>
    <n v="45"/>
  </r>
  <r>
    <s v="1064"/>
    <x v="35"/>
    <x v="219"/>
    <x v="25"/>
    <s v="Laura Callahan"/>
    <s v="Escargots Nouveaux"/>
    <x v="1"/>
    <s v="Argentina"/>
    <m/>
    <s v="Buenos Aires"/>
    <n v="13.25"/>
    <n v="60"/>
  </r>
  <r>
    <s v="1064"/>
    <x v="35"/>
    <x v="128"/>
    <x v="54"/>
    <s v="Janet Leverling"/>
    <s v="Mayumi's"/>
    <x v="1"/>
    <s v="Argentina"/>
    <m/>
    <s v="Buenos Aires"/>
    <n v="6"/>
    <n v="20"/>
  </r>
  <r>
    <s v="1064"/>
    <x v="35"/>
    <x v="252"/>
    <x v="60"/>
    <s v="Janet Leverling"/>
    <s v="Formaggi Fortini s.r.l."/>
    <x v="0"/>
    <s v="Argentina"/>
    <m/>
    <s v="Buenos Aires"/>
    <n v="10"/>
    <n v="15"/>
  </r>
  <r>
    <s v="1064"/>
    <x v="35"/>
    <x v="128"/>
    <x v="51"/>
    <s v="Janet Leverling"/>
    <s v="Norske Meierier"/>
    <x v="1"/>
    <s v="Argentina"/>
    <m/>
    <s v="Buenos Aires"/>
    <n v="21.5"/>
    <n v="35"/>
  </r>
  <r>
    <s v="1064"/>
    <x v="35"/>
    <x v="258"/>
    <x v="45"/>
    <s v="Andrew Fuller"/>
    <s v="Leka Trading"/>
    <x v="0"/>
    <s v="Argentina"/>
    <m/>
    <s v="Buenos Aires"/>
    <n v="14"/>
    <n v="100"/>
  </r>
  <r>
    <s v="1064"/>
    <x v="35"/>
    <x v="123"/>
    <x v="46"/>
    <s v="Andrew Fuller"/>
    <s v="Exotic Liquids"/>
    <x v="0"/>
    <s v="Argentina"/>
    <m/>
    <s v="Buenos Aires"/>
    <n v="18"/>
    <n v="30"/>
  </r>
  <r>
    <s v="1064"/>
    <x v="35"/>
    <x v="123"/>
    <x v="37"/>
    <s v="Andrew Fuller"/>
    <s v="Plutzer Lebensmittelgroßmärkte AG"/>
    <x v="0"/>
    <s v="Argentina"/>
    <m/>
    <s v="Buenos Aires"/>
    <n v="123.79"/>
    <n v="40"/>
  </r>
  <r>
    <s v="1064"/>
    <x v="35"/>
    <x v="123"/>
    <x v="38"/>
    <s v="Andrew Fuller"/>
    <s v="Leka Trading"/>
    <x v="0"/>
    <s v="Argentina"/>
    <m/>
    <s v="Buenos Aires"/>
    <n v="46"/>
    <n v="40"/>
  </r>
  <r>
    <s v="1064"/>
    <x v="35"/>
    <x v="128"/>
    <x v="35"/>
    <s v="Janet Leverling"/>
    <s v="Gai pâturage"/>
    <x v="1"/>
    <s v="Argentina"/>
    <m/>
    <s v="Buenos Aires"/>
    <n v="34"/>
    <n v="49"/>
  </r>
  <r>
    <s v="1064"/>
    <x v="35"/>
    <x v="128"/>
    <x v="38"/>
    <s v="Janet Leverling"/>
    <s v="Leka Trading"/>
    <x v="1"/>
    <s v="Argentina"/>
    <m/>
    <s v="Buenos Aires"/>
    <n v="46"/>
    <n v="24"/>
  </r>
  <r>
    <s v="1064"/>
    <x v="35"/>
    <x v="123"/>
    <x v="29"/>
    <s v="Andrew Fuller"/>
    <s v="Leka Trading"/>
    <x v="0"/>
    <s v="Argentina"/>
    <m/>
    <s v="Buenos Aires"/>
    <n v="19.45"/>
    <n v="24"/>
  </r>
  <r>
    <s v="1064"/>
    <x v="35"/>
    <x v="163"/>
    <x v="5"/>
    <s v="Janet Leverling"/>
    <s v="Heli Süßwaren GmbH &amp; Co. KG"/>
    <x v="0"/>
    <s v="Argentina"/>
    <m/>
    <s v="Buenos Aires"/>
    <n v="31.23"/>
    <n v="40"/>
  </r>
  <r>
    <s v="1064"/>
    <x v="35"/>
    <x v="259"/>
    <x v="45"/>
    <s v="Margaret Peacock"/>
    <s v="Leka Trading"/>
    <x v="1"/>
    <s v="Argentina"/>
    <m/>
    <s v="Buenos Aires"/>
    <n v="14"/>
    <n v="40"/>
  </r>
  <r>
    <s v="1064"/>
    <x v="35"/>
    <x v="142"/>
    <x v="3"/>
    <s v="Robert King"/>
    <s v="New Orleans Cajun Delights"/>
    <x v="0"/>
    <s v="Argentina"/>
    <m/>
    <s v="Buenos Aires"/>
    <n v="22"/>
    <n v="50"/>
  </r>
  <r>
    <s v="1064"/>
    <x v="35"/>
    <x v="260"/>
    <x v="39"/>
    <s v="Janet Leverling"/>
    <s v="New Orleans Cajun Delights"/>
    <x v="1"/>
    <s v="Argentina"/>
    <m/>
    <s v="Buenos Aires"/>
    <n v="21.05"/>
    <n v="80"/>
  </r>
  <r>
    <s v="1064"/>
    <x v="35"/>
    <x v="173"/>
    <x v="30"/>
    <s v="Janet Leverling"/>
    <s v="Formaggi Fortini s.r.l."/>
    <x v="1"/>
    <s v="Argentina"/>
    <m/>
    <s v="Buenos Aires"/>
    <n v="34.799999999999997"/>
    <n v="35"/>
  </r>
  <r>
    <s v="1064"/>
    <x v="35"/>
    <x v="173"/>
    <x v="34"/>
    <s v="Janet Leverling"/>
    <s v="G'day, Mate"/>
    <x v="1"/>
    <s v="Argentina"/>
    <m/>
    <s v="Buenos Aires"/>
    <n v="53"/>
    <n v="44"/>
  </r>
  <r>
    <s v="1064"/>
    <x v="35"/>
    <x v="173"/>
    <x v="5"/>
    <s v="Janet Leverling"/>
    <s v="Heli Süßwaren GmbH &amp; Co. KG"/>
    <x v="1"/>
    <s v="Argentina"/>
    <m/>
    <s v="Buenos Aires"/>
    <n v="31.23"/>
    <n v="63"/>
  </r>
  <r>
    <s v="1064"/>
    <x v="35"/>
    <x v="173"/>
    <x v="59"/>
    <s v="Janet Leverling"/>
    <s v="Specialty Biscuits, Ltd."/>
    <x v="1"/>
    <s v="Argentina"/>
    <m/>
    <s v="Buenos Aires"/>
    <n v="81"/>
    <n v="15"/>
  </r>
  <r>
    <s v="1064"/>
    <x v="35"/>
    <x v="173"/>
    <x v="8"/>
    <s v="Janet Leverling"/>
    <s v="Exotic Liquids"/>
    <x v="1"/>
    <s v="Argentina"/>
    <m/>
    <s v="Buenos Aires"/>
    <n v="19"/>
    <n v="11"/>
  </r>
  <r>
    <s v="1064"/>
    <x v="35"/>
    <x v="261"/>
    <x v="17"/>
    <s v="Anne Dodsworth"/>
    <s v="Gai pâturage"/>
    <x v="0"/>
    <s v="Argentina"/>
    <m/>
    <s v="Buenos Aires"/>
    <n v="55"/>
    <n v="45"/>
  </r>
  <r>
    <s v="1064"/>
    <x v="35"/>
    <x v="262"/>
    <x v="60"/>
    <s v="Steven Buchanan"/>
    <s v="Formaggi Fortini s.r.l."/>
    <x v="0"/>
    <s v="Argentina"/>
    <m/>
    <s v="Buenos Aires"/>
    <n v="12.5"/>
    <n v="55"/>
  </r>
  <r>
    <s v="1064"/>
    <x v="35"/>
    <x v="262"/>
    <x v="21"/>
    <s v="Steven Buchanan"/>
    <s v="Lyngbysild"/>
    <x v="0"/>
    <s v="Argentina"/>
    <m/>
    <s v="Buenos Aires"/>
    <n v="9.5"/>
    <n v="100"/>
  </r>
  <r>
    <s v="1064"/>
    <x v="35"/>
    <x v="262"/>
    <x v="34"/>
    <s v="Steven Buchanan"/>
    <s v="G'day, Mate"/>
    <x v="0"/>
    <s v="Argentina"/>
    <m/>
    <s v="Buenos Aires"/>
    <n v="53"/>
    <n v="48"/>
  </r>
  <r>
    <s v="1064"/>
    <x v="35"/>
    <x v="123"/>
    <x v="9"/>
    <s v="Andrew Fuller"/>
    <s v="Forêts d'érables"/>
    <x v="0"/>
    <s v="Argentina"/>
    <m/>
    <s v="Buenos Aires"/>
    <n v="49.3"/>
    <n v="48"/>
  </r>
  <r>
    <s v="1064"/>
    <x v="35"/>
    <x v="263"/>
    <x v="8"/>
    <s v="Nancy Davolio"/>
    <s v="Exotic Liquids"/>
    <x v="1"/>
    <s v="Argentina"/>
    <m/>
    <s v="Buenos Aires"/>
    <n v="19"/>
    <n v="50"/>
  </r>
  <r>
    <s v="1064"/>
    <x v="35"/>
    <x v="258"/>
    <x v="11"/>
    <s v="Andrew Fuller"/>
    <s v="Pavlova, Ltd."/>
    <x v="0"/>
    <s v="Argentina"/>
    <m/>
    <s v="Buenos Aires"/>
    <n v="62.5"/>
    <n v="40"/>
  </r>
  <r>
    <s v="1064"/>
    <x v="35"/>
    <x v="252"/>
    <x v="43"/>
    <s v="Janet Leverling"/>
    <s v="Tokyo Traders"/>
    <x v="0"/>
    <s v="Argentina"/>
    <m/>
    <s v="Buenos Aires"/>
    <n v="24.8"/>
    <n v="24"/>
  </r>
  <r>
    <s v="1064"/>
    <x v="35"/>
    <x v="264"/>
    <x v="8"/>
    <s v="Margaret Peacock"/>
    <s v="Exotic Liquids"/>
    <x v="0"/>
    <s v="Argentina"/>
    <m/>
    <s v="Buenos Aires"/>
    <n v="15.2"/>
    <n v="60"/>
  </r>
  <r>
    <s v="1064"/>
    <x v="35"/>
    <x v="264"/>
    <x v="72"/>
    <s v="Margaret Peacock"/>
    <s v="Zaanse Snoepfabriek"/>
    <x v="0"/>
    <s v="Argentina"/>
    <m/>
    <s v="Buenos Aires"/>
    <n v="7.6"/>
    <n v="55"/>
  </r>
  <r>
    <s v="1064"/>
    <x v="35"/>
    <x v="264"/>
    <x v="4"/>
    <s v="Margaret Peacock"/>
    <s v="Forêts d'érables"/>
    <x v="0"/>
    <s v="Argentina"/>
    <m/>
    <s v="Buenos Aires"/>
    <n v="22.8"/>
    <n v="16"/>
  </r>
  <r>
    <s v="1064"/>
    <x v="35"/>
    <x v="264"/>
    <x v="74"/>
    <s v="Margaret Peacock"/>
    <s v="Tokyo Traders"/>
    <x v="0"/>
    <s v="Argentina"/>
    <m/>
    <s v="Buenos Aires"/>
    <n v="8"/>
    <n v="15"/>
  </r>
  <r>
    <s v="1064"/>
    <x v="35"/>
    <x v="261"/>
    <x v="30"/>
    <s v="Anne Dodsworth"/>
    <s v="Formaggi Fortini s.r.l."/>
    <x v="0"/>
    <s v="Argentina"/>
    <m/>
    <s v="Buenos Aires"/>
    <n v="34.799999999999997"/>
    <n v="7"/>
  </r>
  <r>
    <s v="1064"/>
    <x v="35"/>
    <x v="163"/>
    <x v="32"/>
    <s v="Janet Leverling"/>
    <s v="Specialty Biscuits, Ltd."/>
    <x v="0"/>
    <s v="Argentina"/>
    <m/>
    <s v="Buenos Aires"/>
    <n v="12.5"/>
    <n v="35"/>
  </r>
  <r>
    <s v="1064"/>
    <x v="35"/>
    <x v="263"/>
    <x v="40"/>
    <s v="Nancy Davolio"/>
    <s v="Karkki Oy"/>
    <x v="1"/>
    <s v="Argentina"/>
    <m/>
    <s v="Buenos Aires"/>
    <n v="18"/>
    <n v="90"/>
  </r>
  <r>
    <s v="1064"/>
    <x v="35"/>
    <x v="163"/>
    <x v="66"/>
    <s v="Janet Leverling"/>
    <s v="Exotic Liquids"/>
    <x v="0"/>
    <s v="Argentina"/>
    <m/>
    <s v="Buenos Aires"/>
    <n v="10"/>
    <n v="60"/>
  </r>
  <r>
    <s v="1064"/>
    <x v="35"/>
    <x v="263"/>
    <x v="47"/>
    <s v="Nancy Davolio"/>
    <s v="Pavlova, Ltd."/>
    <x v="1"/>
    <s v="Argentina"/>
    <m/>
    <s v="Buenos Aires"/>
    <n v="15"/>
    <n v="20"/>
  </r>
  <r>
    <s v="1064"/>
    <x v="35"/>
    <x v="252"/>
    <x v="10"/>
    <s v="Janet Leverling"/>
    <s v="Norske Meierier"/>
    <x v="0"/>
    <s v="Argentina"/>
    <m/>
    <s v="Buenos Aires"/>
    <n v="2"/>
    <n v="20"/>
  </r>
  <r>
    <s v="1064"/>
    <x v="35"/>
    <x v="265"/>
    <x v="2"/>
    <s v="Andrew Fuller"/>
    <s v="Grandma Kelly's Homestead"/>
    <x v="0"/>
    <s v="Argentina"/>
    <m/>
    <s v="Buenos Aires"/>
    <n v="32"/>
    <n v="70"/>
  </r>
  <r>
    <s v="1064"/>
    <x v="35"/>
    <x v="265"/>
    <x v="23"/>
    <s v="Andrew Fuller"/>
    <s v="Specialty Biscuits, Ltd."/>
    <x v="0"/>
    <s v="Argentina"/>
    <m/>
    <s v="Buenos Aires"/>
    <n v="7.3"/>
    <n v="80"/>
  </r>
  <r>
    <s v="1064"/>
    <x v="35"/>
    <x v="265"/>
    <x v="45"/>
    <s v="Andrew Fuller"/>
    <s v="Leka Trading"/>
    <x v="0"/>
    <s v="Argentina"/>
    <m/>
    <s v="Buenos Aires"/>
    <n v="11.2"/>
    <n v="9"/>
  </r>
  <r>
    <s v="1064"/>
    <x v="35"/>
    <x v="261"/>
    <x v="11"/>
    <s v="Anne Dodsworth"/>
    <s v="Pavlova, Ltd."/>
    <x v="0"/>
    <s v="Argentina"/>
    <m/>
    <s v="Buenos Aires"/>
    <n v="62.5"/>
    <n v="24"/>
  </r>
  <r>
    <s v="1064"/>
    <x v="35"/>
    <x v="261"/>
    <x v="29"/>
    <s v="Anne Dodsworth"/>
    <s v="Leka Trading"/>
    <x v="0"/>
    <s v="Argentina"/>
    <m/>
    <s v="Buenos Aires"/>
    <n v="19.45"/>
    <n v="16"/>
  </r>
  <r>
    <s v="1064"/>
    <x v="35"/>
    <x v="115"/>
    <x v="59"/>
    <s v="Margaret Peacock"/>
    <s v="Specialty Biscuits, Ltd."/>
    <x v="1"/>
    <s v="Argentina"/>
    <m/>
    <s v="Buenos Aires"/>
    <n v="81"/>
    <n v="20"/>
  </r>
  <r>
    <s v="1064"/>
    <x v="35"/>
    <x v="142"/>
    <x v="19"/>
    <s v="Robert King"/>
    <s v="Svensk Sjöföda AB"/>
    <x v="0"/>
    <s v="Argentina"/>
    <m/>
    <s v="Buenos Aires"/>
    <n v="19"/>
    <n v="30"/>
  </r>
  <r>
    <s v="1064"/>
    <x v="35"/>
    <x v="163"/>
    <x v="18"/>
    <s v="Janet Leverling"/>
    <s v="Aux joyeux ecclésiastiques"/>
    <x v="0"/>
    <s v="Argentina"/>
    <m/>
    <s v="Buenos Aires"/>
    <n v="263.5"/>
    <n v="30"/>
  </r>
  <r>
    <s v="1050"/>
    <x v="36"/>
    <x v="89"/>
    <x v="3"/>
    <s v="Nancy Davolio"/>
    <s v="New Orleans Cajun Delights"/>
    <x v="1"/>
    <s v="Belgium"/>
    <m/>
    <s v="Bruxelles"/>
    <n v="22"/>
    <n v="5"/>
  </r>
  <r>
    <s v="1050"/>
    <x v="36"/>
    <x v="108"/>
    <x v="19"/>
    <s v="Margaret Peacock"/>
    <s v="Svensk Sjöföda AB"/>
    <x v="1"/>
    <s v="Belgium"/>
    <m/>
    <s v="Bruxelles"/>
    <n v="19"/>
    <n v="30"/>
  </r>
  <r>
    <s v="1050"/>
    <x v="36"/>
    <x v="108"/>
    <x v="30"/>
    <s v="Margaret Peacock"/>
    <s v="Formaggi Fortini s.r.l."/>
    <x v="1"/>
    <s v="Belgium"/>
    <m/>
    <s v="Bruxelles"/>
    <n v="34.799999999999997"/>
    <n v="30"/>
  </r>
  <r>
    <s v="1050"/>
    <x v="36"/>
    <x v="266"/>
    <x v="5"/>
    <s v="Andrew Fuller"/>
    <s v="Heli Süßwaren GmbH &amp; Co. KG"/>
    <x v="0"/>
    <s v="Belgium"/>
    <m/>
    <s v="Bruxelles"/>
    <n v="24.9"/>
    <n v="30"/>
  </r>
  <r>
    <s v="1050"/>
    <x v="36"/>
    <x v="267"/>
    <x v="76"/>
    <s v="Michael Suyama"/>
    <s v="New England Seafood Cannery"/>
    <x v="1"/>
    <s v="Belgium"/>
    <m/>
    <s v="Bruxelles"/>
    <n v="18.399999999999999"/>
    <n v="3"/>
  </r>
  <r>
    <s v="1050"/>
    <x v="36"/>
    <x v="128"/>
    <x v="73"/>
    <s v="Andrew Fuller"/>
    <s v="Bigfoot Breweries"/>
    <x v="1"/>
    <s v="Belgium"/>
    <m/>
    <s v="Bruxelles"/>
    <n v="14"/>
    <n v="40"/>
  </r>
  <r>
    <s v="1050"/>
    <x v="36"/>
    <x v="128"/>
    <x v="8"/>
    <s v="Andrew Fuller"/>
    <s v="Exotic Liquids"/>
    <x v="1"/>
    <s v="Belgium"/>
    <m/>
    <s v="Bruxelles"/>
    <n v="19"/>
    <n v="10"/>
  </r>
  <r>
    <s v="1050"/>
    <x v="36"/>
    <x v="108"/>
    <x v="44"/>
    <s v="Margaret Peacock"/>
    <s v="Aux joyeux ecclésiastiques"/>
    <x v="1"/>
    <s v="Belgium"/>
    <m/>
    <s v="Bruxelles"/>
    <n v="18"/>
    <n v="2"/>
  </r>
  <r>
    <s v="1050"/>
    <x v="36"/>
    <x v="73"/>
    <x v="61"/>
    <s v="Robert King"/>
    <s v="Formaggi Fortini s.r.l."/>
    <x v="1"/>
    <s v="Belgium"/>
    <m/>
    <s v="Bruxelles"/>
    <n v="32"/>
    <n v="20"/>
  </r>
  <r>
    <s v="1050"/>
    <x v="36"/>
    <x v="73"/>
    <x v="57"/>
    <s v="Robert King"/>
    <s v="New England Seafood Cannery"/>
    <x v="1"/>
    <s v="Belgium"/>
    <m/>
    <s v="Bruxelles"/>
    <n v="9.65"/>
    <n v="20"/>
  </r>
  <r>
    <s v="1050"/>
    <x v="36"/>
    <x v="266"/>
    <x v="45"/>
    <s v="Andrew Fuller"/>
    <s v="Leka Trading"/>
    <x v="0"/>
    <s v="Belgium"/>
    <m/>
    <s v="Bruxelles"/>
    <n v="11.2"/>
    <n v="40"/>
  </r>
  <r>
    <s v="1050"/>
    <x v="36"/>
    <x v="47"/>
    <x v="32"/>
    <s v="Andrew Fuller"/>
    <s v="Specialty Biscuits, Ltd."/>
    <x v="0"/>
    <s v="Belgium"/>
    <m/>
    <s v="Bruxelles"/>
    <n v="10"/>
    <n v="20"/>
  </r>
  <r>
    <s v="1050"/>
    <x v="36"/>
    <x v="47"/>
    <x v="67"/>
    <s v="Andrew Fuller"/>
    <s v="New Orleans Cajun Delights"/>
    <x v="0"/>
    <s v="Belgium"/>
    <m/>
    <s v="Bruxelles"/>
    <n v="13.6"/>
    <n v="30"/>
  </r>
  <r>
    <s v="1050"/>
    <x v="36"/>
    <x v="186"/>
    <x v="41"/>
    <s v="Laura Callahan"/>
    <s v="Refrescos Americanas LTDA"/>
    <x v="0"/>
    <s v="Belgium"/>
    <m/>
    <s v="Bruxelles"/>
    <n v="3.6"/>
    <n v="28"/>
  </r>
  <r>
    <s v="1050"/>
    <x v="36"/>
    <x v="268"/>
    <x v="64"/>
    <s v="Laura Callahan"/>
    <s v="New Orleans Cajun Delights"/>
    <x v="0"/>
    <s v="Belgium"/>
    <m/>
    <s v="Bruxelles"/>
    <n v="21.35"/>
    <n v="15"/>
  </r>
  <r>
    <s v="1050"/>
    <x v="36"/>
    <x v="268"/>
    <x v="48"/>
    <s v="Laura Callahan"/>
    <s v="PB Knäckebröd AB"/>
    <x v="0"/>
    <s v="Belgium"/>
    <m/>
    <s v="Bruxelles"/>
    <n v="21"/>
    <n v="40"/>
  </r>
  <r>
    <s v="1050"/>
    <x v="36"/>
    <x v="269"/>
    <x v="41"/>
    <s v="Nancy Davolio"/>
    <s v="Refrescos Americanas LTDA"/>
    <x v="0"/>
    <s v="Belgium"/>
    <m/>
    <s v="Bruxelles"/>
    <n v="3.6"/>
    <n v="12"/>
  </r>
  <r>
    <s v="1050"/>
    <x v="36"/>
    <x v="269"/>
    <x v="17"/>
    <s v="Nancy Davolio"/>
    <s v="Gai pâturage"/>
    <x v="0"/>
    <s v="Belgium"/>
    <m/>
    <s v="Bruxelles"/>
    <n v="44"/>
    <n v="6"/>
  </r>
  <r>
    <s v="1050"/>
    <x v="36"/>
    <x v="268"/>
    <x v="3"/>
    <s v="Laura Callahan"/>
    <s v="New Orleans Cajun Delights"/>
    <x v="0"/>
    <s v="Belgium"/>
    <m/>
    <s v="Bruxelles"/>
    <n v="22"/>
    <n v="10"/>
  </r>
  <r>
    <s v="1050"/>
    <x v="36"/>
    <x v="186"/>
    <x v="52"/>
    <s v="Laura Callahan"/>
    <s v="Heli Süßwaren GmbH &amp; Co. KG"/>
    <x v="0"/>
    <s v="Belgium"/>
    <m/>
    <s v="Bruxelles"/>
    <n v="11.2"/>
    <n v="12"/>
  </r>
  <r>
    <s v="1050"/>
    <x v="36"/>
    <x v="266"/>
    <x v="49"/>
    <s v="Andrew Fuller"/>
    <s v="Karkki Oy"/>
    <x v="0"/>
    <s v="Belgium"/>
    <m/>
    <s v="Bruxelles"/>
    <n v="16"/>
    <n v="30"/>
  </r>
  <r>
    <s v="1082"/>
    <x v="37"/>
    <x v="270"/>
    <x v="30"/>
    <s v="Janet Leverling"/>
    <s v="Formaggi Fortini s.r.l."/>
    <x v="1"/>
    <s v="USA"/>
    <s v="WA"/>
    <s v="Kirkland"/>
    <n v="34.799999999999997"/>
    <n v="15"/>
  </r>
  <r>
    <s v="1082"/>
    <x v="37"/>
    <x v="270"/>
    <x v="25"/>
    <s v="Janet Leverling"/>
    <s v="Escargots Nouveaux"/>
    <x v="1"/>
    <s v="USA"/>
    <s v="WA"/>
    <s v="Kirkland"/>
    <n v="13.25"/>
    <n v="30"/>
  </r>
  <r>
    <s v="1082"/>
    <x v="37"/>
    <x v="271"/>
    <x v="37"/>
    <s v="Nancy Davolio"/>
    <s v="Plutzer Lebensmittelgroßmärkte AG"/>
    <x v="1"/>
    <s v="USA"/>
    <s v="WA"/>
    <s v="Kirkland"/>
    <n v="123.79"/>
    <n v="8"/>
  </r>
  <r>
    <s v="1082"/>
    <x v="37"/>
    <x v="272"/>
    <x v="3"/>
    <s v="Margaret Peacock"/>
    <s v="New Orleans Cajun Delights"/>
    <x v="0"/>
    <s v="USA"/>
    <s v="WA"/>
    <s v="Kirkland"/>
    <n v="22"/>
    <n v="20"/>
  </r>
  <r>
    <s v="1082"/>
    <x v="37"/>
    <x v="272"/>
    <x v="63"/>
    <s v="Margaret Peacock"/>
    <s v="Ma Maison"/>
    <x v="0"/>
    <s v="USA"/>
    <s v="WA"/>
    <s v="Kirkland"/>
    <n v="24"/>
    <n v="20"/>
  </r>
  <r>
    <s v="1082"/>
    <x v="37"/>
    <x v="272"/>
    <x v="9"/>
    <s v="Margaret Peacock"/>
    <s v="Forêts d'érables"/>
    <x v="0"/>
    <s v="USA"/>
    <s v="WA"/>
    <s v="Kirkland"/>
    <n v="49.3"/>
    <n v="10"/>
  </r>
  <r>
    <s v="1082"/>
    <x v="37"/>
    <x v="273"/>
    <x v="59"/>
    <s v="Nancy Davolio"/>
    <s v="Specialty Biscuits, Ltd."/>
    <x v="0"/>
    <s v="USA"/>
    <s v="WA"/>
    <s v="Kirkland"/>
    <n v="64.8"/>
    <n v="20"/>
  </r>
  <r>
    <s v="1082"/>
    <x v="37"/>
    <x v="271"/>
    <x v="33"/>
    <s v="Nancy Davolio"/>
    <s v="Nord-Ost-Fisch Handelsgesellschaft mbH"/>
    <x v="1"/>
    <s v="USA"/>
    <s v="WA"/>
    <s v="Kirkland"/>
    <n v="25.89"/>
    <n v="20"/>
  </r>
  <r>
    <s v="1082"/>
    <x v="37"/>
    <x v="238"/>
    <x v="60"/>
    <s v="Robert King"/>
    <s v="Formaggi Fortini s.r.l."/>
    <x v="0"/>
    <s v="USA"/>
    <s v="WA"/>
    <s v="Kirkland"/>
    <n v="10"/>
    <n v="20"/>
  </r>
  <r>
    <s v="1082"/>
    <x v="37"/>
    <x v="274"/>
    <x v="32"/>
    <s v="Margaret Peacock"/>
    <s v="Specialty Biscuits, Ltd."/>
    <x v="1"/>
    <s v="USA"/>
    <s v="WA"/>
    <s v="Kirkland"/>
    <n v="12.5"/>
    <n v="24"/>
  </r>
  <r>
    <s v="1082"/>
    <x v="37"/>
    <x v="274"/>
    <x v="44"/>
    <s v="Margaret Peacock"/>
    <s v="Aux joyeux ecclésiastiques"/>
    <x v="1"/>
    <s v="USA"/>
    <s v="WA"/>
    <s v="Kirkland"/>
    <n v="18"/>
    <n v="28"/>
  </r>
  <r>
    <s v="1082"/>
    <x v="37"/>
    <x v="274"/>
    <x v="70"/>
    <s v="Margaret Peacock"/>
    <s v="Grandma Kelly's Homestead"/>
    <x v="1"/>
    <s v="USA"/>
    <s v="WA"/>
    <s v="Kirkland"/>
    <n v="25"/>
    <n v="6"/>
  </r>
  <r>
    <s v="1082"/>
    <x v="37"/>
    <x v="274"/>
    <x v="35"/>
    <s v="Margaret Peacock"/>
    <s v="Gai pâturage"/>
    <x v="1"/>
    <s v="USA"/>
    <s v="WA"/>
    <s v="Kirkland"/>
    <n v="34"/>
    <n v="30"/>
  </r>
  <r>
    <s v="1070"/>
    <x v="38"/>
    <x v="275"/>
    <x v="35"/>
    <s v="Margaret Peacock"/>
    <s v="Gai pâturage"/>
    <x v="1"/>
    <s v="Norway"/>
    <m/>
    <s v="Stavern"/>
    <n v="34"/>
    <n v="10"/>
  </r>
  <r>
    <s v="1070"/>
    <x v="38"/>
    <x v="221"/>
    <x v="13"/>
    <s v="Margaret Peacock"/>
    <s v="Bigfoot Breweries"/>
    <x v="0"/>
    <s v="Norway"/>
    <m/>
    <s v="Stavern"/>
    <n v="14.4"/>
    <n v="4"/>
  </r>
  <r>
    <s v="1070"/>
    <x v="38"/>
    <x v="276"/>
    <x v="33"/>
    <s v="Margaret Peacock"/>
    <s v="Nord-Ost-Fisch Handelsgesellschaft mbH"/>
    <x v="0"/>
    <s v="Norway"/>
    <m/>
    <s v="Stavern"/>
    <n v="20.7"/>
    <n v="6"/>
  </r>
  <r>
    <s v="1070"/>
    <x v="38"/>
    <x v="221"/>
    <x v="23"/>
    <s v="Margaret Peacock"/>
    <s v="Specialty Biscuits, Ltd."/>
    <x v="0"/>
    <s v="Norway"/>
    <m/>
    <s v="Stavern"/>
    <n v="7.3"/>
    <n v="1"/>
  </r>
  <r>
    <s v="1070"/>
    <x v="38"/>
    <x v="221"/>
    <x v="41"/>
    <s v="Margaret Peacock"/>
    <s v="Refrescos Americanas LTDA"/>
    <x v="0"/>
    <s v="Norway"/>
    <m/>
    <s v="Stavern"/>
    <n v="3.6"/>
    <n v="6"/>
  </r>
  <r>
    <s v="1070"/>
    <x v="38"/>
    <x v="275"/>
    <x v="33"/>
    <s v="Margaret Peacock"/>
    <s v="Nord-Ost-Fisch Handelsgesellschaft mbH"/>
    <x v="1"/>
    <s v="Norway"/>
    <m/>
    <s v="Stavern"/>
    <n v="25.89"/>
    <n v="1"/>
  </r>
  <r>
    <s v="1070"/>
    <x v="38"/>
    <x v="129"/>
    <x v="32"/>
    <s v="Andrew Fuller"/>
    <s v="Specialty Biscuits, Ltd."/>
    <x v="1"/>
    <s v="Norway"/>
    <m/>
    <s v="Stavern"/>
    <n v="12.5"/>
    <n v="2"/>
  </r>
  <r>
    <s v="1070"/>
    <x v="38"/>
    <x v="129"/>
    <x v="45"/>
    <s v="Andrew Fuller"/>
    <s v="Leka Trading"/>
    <x v="1"/>
    <s v="Norway"/>
    <m/>
    <s v="Stavern"/>
    <n v="14"/>
    <n v="4"/>
  </r>
  <r>
    <s v="1070"/>
    <x v="38"/>
    <x v="276"/>
    <x v="53"/>
    <s v="Margaret Peacock"/>
    <s v="Pasta Buttini s.r.l."/>
    <x v="0"/>
    <s v="Norway"/>
    <m/>
    <s v="Stavern"/>
    <n v="15.6"/>
    <n v="2"/>
  </r>
  <r>
    <s v="1070"/>
    <x v="38"/>
    <x v="129"/>
    <x v="55"/>
    <s v="Andrew Fuller"/>
    <s v="PB Knäckebröd AB"/>
    <x v="1"/>
    <s v="Norway"/>
    <m/>
    <s v="Stavern"/>
    <n v="9"/>
    <n v="10"/>
  </r>
  <r>
    <s v="1070"/>
    <x v="38"/>
    <x v="88"/>
    <x v="33"/>
    <s v="Nancy Davolio"/>
    <s v="Nord-Ost-Fisch Handelsgesellschaft mbH"/>
    <x v="0"/>
    <s v="Norway"/>
    <m/>
    <s v="Stavern"/>
    <n v="20.7"/>
    <n v="10"/>
  </r>
  <r>
    <s v="1070"/>
    <x v="38"/>
    <x v="88"/>
    <x v="6"/>
    <s v="Nancy Davolio"/>
    <s v="G'day, Mate"/>
    <x v="0"/>
    <s v="Norway"/>
    <m/>
    <s v="Stavern"/>
    <n v="26.2"/>
    <n v="10"/>
  </r>
  <r>
    <s v="1070"/>
    <x v="38"/>
    <x v="88"/>
    <x v="0"/>
    <s v="Nancy Davolio"/>
    <s v="Ma Maison"/>
    <x v="0"/>
    <s v="Norway"/>
    <m/>
    <s v="Stavern"/>
    <n v="5.9"/>
    <n v="5"/>
  </r>
  <r>
    <s v="1070"/>
    <x v="38"/>
    <x v="129"/>
    <x v="21"/>
    <s v="Andrew Fuller"/>
    <s v="Lyngbysild"/>
    <x v="1"/>
    <s v="Norway"/>
    <m/>
    <s v="Stavern"/>
    <n v="9.5"/>
    <n v="20"/>
  </r>
  <r>
    <s v="1046"/>
    <x v="39"/>
    <x v="277"/>
    <x v="27"/>
    <s v="Nancy Davolio"/>
    <s v="Plutzer Lebensmittelgroßmärkte AG"/>
    <x v="0"/>
    <s v="Venezuela"/>
    <s v="Lara"/>
    <s v="Barquisimeto"/>
    <n v="7.75"/>
    <n v="21"/>
  </r>
  <r>
    <s v="1046"/>
    <x v="39"/>
    <x v="46"/>
    <x v="39"/>
    <s v="Margaret Peacock"/>
    <s v="New Orleans Cajun Delights"/>
    <x v="1"/>
    <s v="Venezuela"/>
    <s v="Lara"/>
    <s v="Barquisimeto"/>
    <n v="21.05"/>
    <n v="12"/>
  </r>
  <r>
    <s v="1046"/>
    <x v="39"/>
    <x v="46"/>
    <x v="22"/>
    <s v="Margaret Peacock"/>
    <s v="Pasta Buttini s.r.l."/>
    <x v="1"/>
    <s v="Venezuela"/>
    <s v="Lara"/>
    <s v="Barquisimeto"/>
    <n v="38"/>
    <n v="21"/>
  </r>
  <r>
    <s v="1046"/>
    <x v="39"/>
    <x v="46"/>
    <x v="7"/>
    <s v="Margaret Peacock"/>
    <s v="Specialty Biscuits, Ltd."/>
    <x v="1"/>
    <s v="Venezuela"/>
    <s v="Lara"/>
    <s v="Barquisimeto"/>
    <n v="10"/>
    <n v="40"/>
  </r>
  <r>
    <s v="1046"/>
    <x v="39"/>
    <x v="57"/>
    <x v="4"/>
    <s v="Michael Suyama"/>
    <s v="Forêts d'érables"/>
    <x v="0"/>
    <s v="Venezuela"/>
    <s v="Lara"/>
    <s v="Barquisimeto"/>
    <n v="28.5"/>
    <n v="20"/>
  </r>
  <r>
    <s v="1046"/>
    <x v="39"/>
    <x v="277"/>
    <x v="75"/>
    <s v="Nancy Davolio"/>
    <s v="Mayumi's"/>
    <x v="0"/>
    <s v="Venezuela"/>
    <s v="Lara"/>
    <s v="Barquisimeto"/>
    <n v="15.5"/>
    <n v="10"/>
  </r>
  <r>
    <s v="1046"/>
    <x v="39"/>
    <x v="14"/>
    <x v="0"/>
    <s v="Laura Callahan"/>
    <s v="Ma Maison"/>
    <x v="0"/>
    <s v="Venezuela"/>
    <s v="Lara"/>
    <s v="Barquisimeto"/>
    <n v="7.45"/>
    <n v="40"/>
  </r>
  <r>
    <s v="1046"/>
    <x v="39"/>
    <x v="14"/>
    <x v="33"/>
    <s v="Laura Callahan"/>
    <s v="Nord-Ost-Fisch Handelsgesellschaft mbH"/>
    <x v="0"/>
    <s v="Venezuela"/>
    <s v="Lara"/>
    <s v="Barquisimeto"/>
    <n v="25.89"/>
    <n v="3"/>
  </r>
  <r>
    <s v="1046"/>
    <x v="39"/>
    <x v="14"/>
    <x v="11"/>
    <s v="Laura Callahan"/>
    <s v="Pavlova, Ltd."/>
    <x v="0"/>
    <s v="Venezuela"/>
    <s v="Lara"/>
    <s v="Barquisimeto"/>
    <n v="62.5"/>
    <n v="12"/>
  </r>
  <r>
    <s v="1046"/>
    <x v="39"/>
    <x v="57"/>
    <x v="16"/>
    <s v="Michael Suyama"/>
    <s v="Plutzer Lebensmittelgroßmärkte AG"/>
    <x v="0"/>
    <s v="Venezuela"/>
    <s v="Lara"/>
    <s v="Barquisimeto"/>
    <n v="13"/>
    <n v="2"/>
  </r>
  <r>
    <s v="1003"/>
    <x v="40"/>
    <x v="222"/>
    <x v="8"/>
    <s v="Janet Leverling"/>
    <s v="Exotic Liquids"/>
    <x v="1"/>
    <s v="Mexico"/>
    <m/>
    <s v="México D.F."/>
    <n v="19"/>
    <n v="20"/>
  </r>
  <r>
    <s v="1003"/>
    <x v="40"/>
    <x v="278"/>
    <x v="76"/>
    <s v="Margaret Peacock"/>
    <s v="New England Seafood Cannery"/>
    <x v="0"/>
    <s v="Mexico"/>
    <m/>
    <s v="México D.F."/>
    <n v="18.399999999999999"/>
    <n v="10"/>
  </r>
  <r>
    <s v="1003"/>
    <x v="40"/>
    <x v="278"/>
    <x v="56"/>
    <s v="Margaret Peacock"/>
    <s v="Las Cabras"/>
    <x v="0"/>
    <s v="Mexico"/>
    <m/>
    <s v="México D.F."/>
    <n v="21"/>
    <n v="50"/>
  </r>
  <r>
    <s v="1003"/>
    <x v="40"/>
    <x v="278"/>
    <x v="53"/>
    <s v="Margaret Peacock"/>
    <s v="Pasta Buttini s.r.l."/>
    <x v="0"/>
    <s v="Mexico"/>
    <m/>
    <s v="México D.F."/>
    <n v="19.5"/>
    <n v="5"/>
  </r>
  <r>
    <s v="1003"/>
    <x v="40"/>
    <x v="278"/>
    <x v="17"/>
    <s v="Margaret Peacock"/>
    <s v="Gai pâturage"/>
    <x v="0"/>
    <s v="Mexico"/>
    <m/>
    <s v="México D.F."/>
    <n v="55"/>
    <n v="15"/>
  </r>
  <r>
    <s v="1003"/>
    <x v="40"/>
    <x v="254"/>
    <x v="5"/>
    <s v="Nancy Davolio"/>
    <s v="Heli Süßwaren GmbH &amp; Co. KG"/>
    <x v="0"/>
    <s v="Mexico"/>
    <m/>
    <s v="México D.F."/>
    <n v="31.23"/>
    <n v="30"/>
  </r>
  <r>
    <s v="1003"/>
    <x v="40"/>
    <x v="279"/>
    <x v="56"/>
    <s v="Janet Leverling"/>
    <s v="Las Cabras"/>
    <x v="0"/>
    <s v="Mexico"/>
    <m/>
    <s v="México D.F."/>
    <n v="16.8"/>
    <n v="24"/>
  </r>
  <r>
    <s v="1003"/>
    <x v="40"/>
    <x v="254"/>
    <x v="10"/>
    <s v="Nancy Davolio"/>
    <s v="Norske Meierier"/>
    <x v="0"/>
    <s v="Mexico"/>
    <m/>
    <s v="México D.F."/>
    <n v="2.5"/>
    <n v="8"/>
  </r>
  <r>
    <s v="1003"/>
    <x v="40"/>
    <x v="222"/>
    <x v="45"/>
    <s v="Janet Leverling"/>
    <s v="Leka Trading"/>
    <x v="1"/>
    <s v="Mexico"/>
    <m/>
    <s v="México D.F."/>
    <n v="14"/>
    <n v="20"/>
  </r>
  <r>
    <s v="1003"/>
    <x v="40"/>
    <x v="155"/>
    <x v="67"/>
    <s v="Janet Leverling"/>
    <s v="New Orleans Cajun Delights"/>
    <x v="0"/>
    <s v="Mexico"/>
    <m/>
    <s v="México D.F."/>
    <n v="17"/>
    <n v="4"/>
  </r>
  <r>
    <s v="1003"/>
    <x v="40"/>
    <x v="155"/>
    <x v="10"/>
    <s v="Janet Leverling"/>
    <s v="Norske Meierier"/>
    <x v="0"/>
    <s v="Mexico"/>
    <m/>
    <s v="México D.F."/>
    <n v="2.5"/>
    <n v="30"/>
  </r>
  <r>
    <s v="1003"/>
    <x v="40"/>
    <x v="155"/>
    <x v="27"/>
    <s v="Janet Leverling"/>
    <s v="Plutzer Lebensmittelgroßmärkte AG"/>
    <x v="0"/>
    <s v="Mexico"/>
    <m/>
    <s v="México D.F."/>
    <n v="7.75"/>
    <n v="30"/>
  </r>
  <r>
    <s v="1003"/>
    <x v="40"/>
    <x v="197"/>
    <x v="38"/>
    <s v="Robert King"/>
    <s v="Leka Trading"/>
    <x v="0"/>
    <s v="Mexico"/>
    <m/>
    <s v="México D.F."/>
    <n v="46"/>
    <n v="15"/>
  </r>
  <r>
    <s v="1003"/>
    <x v="40"/>
    <x v="280"/>
    <x v="15"/>
    <s v="Robert King"/>
    <s v="Pavlova, Ltd."/>
    <x v="0"/>
    <s v="Mexico"/>
    <m/>
    <s v="México D.F."/>
    <n v="39"/>
    <n v="18"/>
  </r>
  <r>
    <s v="1003"/>
    <x v="40"/>
    <x v="280"/>
    <x v="20"/>
    <s v="Robert King"/>
    <s v="Bigfoot Breweries"/>
    <x v="0"/>
    <s v="Mexico"/>
    <m/>
    <s v="México D.F."/>
    <n v="14"/>
    <n v="40"/>
  </r>
  <r>
    <s v="1003"/>
    <x v="40"/>
    <x v="280"/>
    <x v="6"/>
    <s v="Robert King"/>
    <s v="G'day, Mate"/>
    <x v="0"/>
    <s v="Mexico"/>
    <m/>
    <s v="México D.F."/>
    <n v="32.799999999999997"/>
    <n v="25"/>
  </r>
  <r>
    <s v="1003"/>
    <x v="40"/>
    <x v="197"/>
    <x v="42"/>
    <s v="Robert King"/>
    <s v="Zaanse Snoepfabriek"/>
    <x v="0"/>
    <s v="Mexico"/>
    <m/>
    <s v="México D.F."/>
    <n v="12.75"/>
    <n v="15"/>
  </r>
  <r>
    <s v="1052"/>
    <x v="41"/>
    <x v="281"/>
    <x v="46"/>
    <s v="Margaret Peacock"/>
    <s v="Exotic Liquids"/>
    <x v="0"/>
    <s v="Germany"/>
    <m/>
    <s v="Leipzig"/>
    <n v="18"/>
    <n v="20"/>
  </r>
  <r>
    <s v="1052"/>
    <x v="41"/>
    <x v="282"/>
    <x v="18"/>
    <s v="Robert King"/>
    <s v="Aux joyeux ecclésiastiques"/>
    <x v="0"/>
    <s v="Germany"/>
    <m/>
    <s v="Leipzig"/>
    <n v="210.8"/>
    <n v="49"/>
  </r>
  <r>
    <s v="1052"/>
    <x v="41"/>
    <x v="282"/>
    <x v="13"/>
    <s v="Robert King"/>
    <s v="Bigfoot Breweries"/>
    <x v="0"/>
    <s v="Germany"/>
    <m/>
    <s v="Leipzig"/>
    <n v="14.4"/>
    <n v="60"/>
  </r>
  <r>
    <s v="1052"/>
    <x v="41"/>
    <x v="45"/>
    <x v="41"/>
    <s v="Laura Callahan"/>
    <s v="Refrescos Americanas LTDA"/>
    <x v="0"/>
    <s v="Germany"/>
    <m/>
    <s v="Leipzig"/>
    <n v="4.5"/>
    <n v="25"/>
  </r>
  <r>
    <s v="1052"/>
    <x v="41"/>
    <x v="282"/>
    <x v="32"/>
    <s v="Robert King"/>
    <s v="Specialty Biscuits, Ltd."/>
    <x v="0"/>
    <s v="Germany"/>
    <m/>
    <s v="Leipzig"/>
    <n v="10"/>
    <n v="30"/>
  </r>
  <r>
    <s v="1052"/>
    <x v="41"/>
    <x v="283"/>
    <x v="51"/>
    <s v="Nancy Davolio"/>
    <s v="Norske Meierier"/>
    <x v="0"/>
    <s v="Germany"/>
    <m/>
    <s v="Leipzig"/>
    <n v="21.5"/>
    <n v="15"/>
  </r>
  <r>
    <s v="1052"/>
    <x v="41"/>
    <x v="284"/>
    <x v="9"/>
    <s v="Andrew Fuller"/>
    <s v="Forêts d'érables"/>
    <x v="0"/>
    <s v="Germany"/>
    <m/>
    <s v="Leipzig"/>
    <n v="39.4"/>
    <n v="28"/>
  </r>
  <r>
    <s v="1052"/>
    <x v="41"/>
    <x v="283"/>
    <x v="17"/>
    <s v="Nancy Davolio"/>
    <s v="Gai pâturage"/>
    <x v="0"/>
    <s v="Germany"/>
    <m/>
    <s v="Leipzig"/>
    <n v="55"/>
    <n v="20"/>
  </r>
  <r>
    <s v="1052"/>
    <x v="41"/>
    <x v="281"/>
    <x v="16"/>
    <s v="Margaret Peacock"/>
    <s v="Plutzer Lebensmittelgroßmärkte AG"/>
    <x v="0"/>
    <s v="Germany"/>
    <m/>
    <s v="Leipzig"/>
    <n v="13"/>
    <n v="60"/>
  </r>
  <r>
    <s v="1052"/>
    <x v="41"/>
    <x v="45"/>
    <x v="62"/>
    <s v="Laura Callahan"/>
    <s v="Plutzer Lebensmittelgroßmärkte AG"/>
    <x v="0"/>
    <s v="Germany"/>
    <m/>
    <s v="Leipzig"/>
    <n v="33.25"/>
    <n v="18"/>
  </r>
  <r>
    <s v="1052"/>
    <x v="41"/>
    <x v="284"/>
    <x v="3"/>
    <s v="Andrew Fuller"/>
    <s v="New Orleans Cajun Delights"/>
    <x v="0"/>
    <s v="Germany"/>
    <m/>
    <s v="Leipzig"/>
    <n v="17.600000000000001"/>
    <n v="10"/>
  </r>
  <r>
    <s v="1052"/>
    <x v="41"/>
    <x v="284"/>
    <x v="15"/>
    <s v="Andrew Fuller"/>
    <s v="Pavlova, Ltd."/>
    <x v="0"/>
    <s v="Germany"/>
    <m/>
    <s v="Leipzig"/>
    <n v="31.2"/>
    <n v="70"/>
  </r>
  <r>
    <s v="1052"/>
    <x v="41"/>
    <x v="285"/>
    <x v="74"/>
    <s v="Michael Suyama"/>
    <s v="Tokyo Traders"/>
    <x v="0"/>
    <s v="Germany"/>
    <m/>
    <s v="Leipzig"/>
    <n v="8"/>
    <n v="30"/>
  </r>
  <r>
    <s v="1052"/>
    <x v="41"/>
    <x v="283"/>
    <x v="1"/>
    <s v="Nancy Davolio"/>
    <s v="Pavlova, Ltd."/>
    <x v="0"/>
    <s v="Germany"/>
    <m/>
    <s v="Leipzig"/>
    <n v="17.45"/>
    <n v="30"/>
  </r>
  <r>
    <s v="1052"/>
    <x v="41"/>
    <x v="283"/>
    <x v="35"/>
    <s v="Nancy Davolio"/>
    <s v="Gai pâturage"/>
    <x v="0"/>
    <s v="Germany"/>
    <m/>
    <s v="Leipzig"/>
    <n v="34"/>
    <n v="70"/>
  </r>
  <r>
    <s v="1052"/>
    <x v="41"/>
    <x v="286"/>
    <x v="22"/>
    <s v="Nancy Davolio"/>
    <s v="Pasta Buttini s.r.l."/>
    <x v="0"/>
    <s v="Germany"/>
    <m/>
    <s v="Leipzig"/>
    <n v="38"/>
    <n v="20"/>
  </r>
  <r>
    <s v="1052"/>
    <x v="41"/>
    <x v="4"/>
    <x v="43"/>
    <s v="Laura Callahan"/>
    <s v="Tokyo Traders"/>
    <x v="0"/>
    <s v="Germany"/>
    <m/>
    <s v="Leipzig"/>
    <n v="31"/>
    <n v="16"/>
  </r>
  <r>
    <s v="1052"/>
    <x v="41"/>
    <x v="287"/>
    <x v="9"/>
    <s v="Janet Leverling"/>
    <s v="Forêts d'érables"/>
    <x v="0"/>
    <s v="Germany"/>
    <m/>
    <s v="Leipzig"/>
    <n v="49.3"/>
    <n v="3"/>
  </r>
  <r>
    <s v="1052"/>
    <x v="41"/>
    <x v="47"/>
    <x v="60"/>
    <s v="Nancy Davolio"/>
    <s v="Formaggi Fortini s.r.l."/>
    <x v="0"/>
    <s v="Germany"/>
    <m/>
    <s v="Leipzig"/>
    <n v="10"/>
    <n v="42"/>
  </r>
  <r>
    <s v="1052"/>
    <x v="41"/>
    <x v="4"/>
    <x v="4"/>
    <s v="Laura Callahan"/>
    <s v="Forêts d'érables"/>
    <x v="0"/>
    <s v="Germany"/>
    <m/>
    <s v="Leipzig"/>
    <n v="28.5"/>
    <n v="5"/>
  </r>
  <r>
    <s v="1052"/>
    <x v="41"/>
    <x v="288"/>
    <x v="56"/>
    <s v="Janet Leverling"/>
    <s v="Las Cabras"/>
    <x v="0"/>
    <s v="Germany"/>
    <m/>
    <s v="Leipzig"/>
    <n v="21"/>
    <n v="15"/>
  </r>
  <r>
    <s v="1052"/>
    <x v="41"/>
    <x v="288"/>
    <x v="22"/>
    <s v="Janet Leverling"/>
    <s v="Pasta Buttini s.r.l."/>
    <x v="0"/>
    <s v="Germany"/>
    <m/>
    <s v="Leipzig"/>
    <n v="38"/>
    <n v="60"/>
  </r>
  <r>
    <s v="1052"/>
    <x v="41"/>
    <x v="289"/>
    <x v="7"/>
    <s v="Janet Leverling"/>
    <s v="Specialty Biscuits, Ltd."/>
    <x v="0"/>
    <s v="Germany"/>
    <m/>
    <s v="Leipzig"/>
    <n v="10"/>
    <n v="42"/>
  </r>
  <r>
    <s v="1052"/>
    <x v="41"/>
    <x v="289"/>
    <x v="48"/>
    <s v="Janet Leverling"/>
    <s v="PB Knäckebröd AB"/>
    <x v="0"/>
    <s v="Germany"/>
    <m/>
    <s v="Leipzig"/>
    <n v="21"/>
    <n v="40"/>
  </r>
  <r>
    <s v="1052"/>
    <x v="41"/>
    <x v="285"/>
    <x v="1"/>
    <s v="Michael Suyama"/>
    <s v="Pavlova, Ltd."/>
    <x v="0"/>
    <s v="Germany"/>
    <m/>
    <s v="Leipzig"/>
    <n v="13.9"/>
    <n v="16"/>
  </r>
  <r>
    <s v="1052"/>
    <x v="41"/>
    <x v="286"/>
    <x v="70"/>
    <s v="Nancy Davolio"/>
    <s v="Grandma Kelly's Homestead"/>
    <x v="0"/>
    <s v="Germany"/>
    <m/>
    <s v="Leipzig"/>
    <n v="25"/>
    <n v="70"/>
  </r>
  <r>
    <s v="1052"/>
    <x v="41"/>
    <x v="290"/>
    <x v="45"/>
    <s v="Janet Leverling"/>
    <s v="Leka Trading"/>
    <x v="0"/>
    <s v="Germany"/>
    <m/>
    <s v="Leipzig"/>
    <n v="11.2"/>
    <n v="10"/>
  </r>
  <r>
    <s v="1052"/>
    <x v="41"/>
    <x v="285"/>
    <x v="69"/>
    <s v="Michael Suyama"/>
    <s v="Las Cabras"/>
    <x v="0"/>
    <s v="Germany"/>
    <m/>
    <s v="Leipzig"/>
    <n v="30.4"/>
    <n v="15"/>
  </r>
  <r>
    <s v="1052"/>
    <x v="41"/>
    <x v="285"/>
    <x v="62"/>
    <s v="Michael Suyama"/>
    <s v="Plutzer Lebensmittelgroßmärkte AG"/>
    <x v="0"/>
    <s v="Germany"/>
    <m/>
    <s v="Leipzig"/>
    <n v="26.6"/>
    <n v="6"/>
  </r>
  <r>
    <s v="1052"/>
    <x v="41"/>
    <x v="290"/>
    <x v="72"/>
    <s v="Janet Leverling"/>
    <s v="Zaanse Snoepfabriek"/>
    <x v="0"/>
    <s v="Germany"/>
    <m/>
    <s v="Leipzig"/>
    <n v="7.6"/>
    <n v="16"/>
  </r>
  <r>
    <s v="1052"/>
    <x v="41"/>
    <x v="290"/>
    <x v="11"/>
    <s v="Janet Leverling"/>
    <s v="Pavlova, Ltd."/>
    <x v="0"/>
    <s v="Germany"/>
    <m/>
    <s v="Leipzig"/>
    <n v="50"/>
    <n v="40"/>
  </r>
  <r>
    <s v="1052"/>
    <x v="41"/>
    <x v="286"/>
    <x v="32"/>
    <s v="Nancy Davolio"/>
    <s v="Specialty Biscuits, Ltd."/>
    <x v="0"/>
    <s v="Germany"/>
    <m/>
    <s v="Leipzig"/>
    <n v="12.5"/>
    <n v="15"/>
  </r>
  <r>
    <s v="1078"/>
    <x v="42"/>
    <x v="291"/>
    <x v="1"/>
    <s v="Laura Callahan"/>
    <s v="Pavlova, Ltd."/>
    <x v="0"/>
    <s v="USA"/>
    <s v="MT"/>
    <s v="Butte"/>
    <n v="13.9"/>
    <n v="10"/>
  </r>
  <r>
    <s v="1078"/>
    <x v="42"/>
    <x v="291"/>
    <x v="9"/>
    <s v="Laura Callahan"/>
    <s v="Forêts d'érables"/>
    <x v="0"/>
    <s v="USA"/>
    <s v="MT"/>
    <s v="Butte"/>
    <n v="39.4"/>
    <n v="5"/>
  </r>
  <r>
    <s v="1078"/>
    <x v="42"/>
    <x v="263"/>
    <x v="30"/>
    <s v="Nancy Davolio"/>
    <s v="Formaggi Fortini s.r.l."/>
    <x v="1"/>
    <s v="USA"/>
    <s v="MT"/>
    <s v="Butte"/>
    <n v="34.799999999999997"/>
    <n v="2"/>
  </r>
  <r>
    <s v="1078"/>
    <x v="42"/>
    <x v="87"/>
    <x v="19"/>
    <s v="Michael Suyama"/>
    <s v="Svensk Sjöföda AB"/>
    <x v="0"/>
    <s v="USA"/>
    <s v="MT"/>
    <s v="Butte"/>
    <n v="19"/>
    <n v="5"/>
  </r>
  <r>
    <s v="1078"/>
    <x v="42"/>
    <x v="54"/>
    <x v="20"/>
    <s v="Andrew Fuller"/>
    <s v="Bigfoot Breweries"/>
    <x v="1"/>
    <s v="USA"/>
    <s v="MT"/>
    <s v="Butte"/>
    <n v="14"/>
    <n v="10"/>
  </r>
  <r>
    <s v="1078"/>
    <x v="42"/>
    <x v="54"/>
    <x v="18"/>
    <s v="Andrew Fuller"/>
    <s v="Aux joyeux ecclésiastiques"/>
    <x v="1"/>
    <s v="USA"/>
    <s v="MT"/>
    <s v="Butte"/>
    <n v="263.5"/>
    <n v="10"/>
  </r>
  <r>
    <s v="1078"/>
    <x v="42"/>
    <x v="87"/>
    <x v="64"/>
    <s v="Michael Suyama"/>
    <s v="New Orleans Cajun Delights"/>
    <x v="0"/>
    <s v="USA"/>
    <s v="MT"/>
    <s v="Butte"/>
    <n v="21.35"/>
    <n v="4"/>
  </r>
  <r>
    <s v="1065"/>
    <x v="43"/>
    <x v="292"/>
    <x v="49"/>
    <s v="Michael Suyama"/>
    <s v="Karkki Oy"/>
    <x v="1"/>
    <s v="USA"/>
    <s v="NM"/>
    <s v="Albuquerque"/>
    <n v="20"/>
    <n v="2"/>
  </r>
  <r>
    <s v="1065"/>
    <x v="43"/>
    <x v="274"/>
    <x v="59"/>
    <s v="Anne Dodsworth"/>
    <s v="Specialty Biscuits, Ltd."/>
    <x v="1"/>
    <s v="USA"/>
    <s v="NM"/>
    <s v="Albuquerque"/>
    <n v="81"/>
    <n v="5"/>
  </r>
  <r>
    <s v="1065"/>
    <x v="43"/>
    <x v="292"/>
    <x v="26"/>
    <s v="Michael Suyama"/>
    <s v="Lyngbysild"/>
    <x v="1"/>
    <s v="USA"/>
    <s v="NM"/>
    <s v="Albuquerque"/>
    <n v="12"/>
    <n v="3"/>
  </r>
  <r>
    <s v="1065"/>
    <x v="43"/>
    <x v="274"/>
    <x v="18"/>
    <s v="Anne Dodsworth"/>
    <s v="Aux joyeux ecclésiastiques"/>
    <x v="1"/>
    <s v="USA"/>
    <s v="NM"/>
    <s v="Albuquerque"/>
    <n v="263.5"/>
    <n v="2"/>
  </r>
  <r>
    <s v="1065"/>
    <x v="43"/>
    <x v="293"/>
    <x v="61"/>
    <s v="Nancy Davolio"/>
    <s v="Formaggi Fortini s.r.l."/>
    <x v="1"/>
    <s v="USA"/>
    <s v="NM"/>
    <s v="Albuquerque"/>
    <n v="32"/>
    <n v="6"/>
  </r>
  <r>
    <s v="1065"/>
    <x v="43"/>
    <x v="293"/>
    <x v="1"/>
    <s v="Nancy Davolio"/>
    <s v="Pavlova, Ltd."/>
    <x v="1"/>
    <s v="USA"/>
    <s v="NM"/>
    <s v="Albuquerque"/>
    <n v="17.45"/>
    <n v="6"/>
  </r>
  <r>
    <s v="1065"/>
    <x v="43"/>
    <x v="294"/>
    <x v="5"/>
    <s v="Margaret Peacock"/>
    <s v="Heli Süßwaren GmbH &amp; Co. KG"/>
    <x v="0"/>
    <s v="USA"/>
    <s v="NM"/>
    <s v="Albuquerque"/>
    <n v="24.9"/>
    <n v="6"/>
  </r>
  <r>
    <s v="1065"/>
    <x v="43"/>
    <x v="295"/>
    <x v="7"/>
    <s v="Margaret Peacock"/>
    <s v="Specialty Biscuits, Ltd."/>
    <x v="0"/>
    <s v="USA"/>
    <s v="NM"/>
    <s v="Albuquerque"/>
    <n v="10"/>
    <n v="5"/>
  </r>
  <r>
    <s v="1065"/>
    <x v="43"/>
    <x v="295"/>
    <x v="34"/>
    <s v="Margaret Peacock"/>
    <s v="G'day, Mate"/>
    <x v="0"/>
    <s v="USA"/>
    <s v="NM"/>
    <s v="Albuquerque"/>
    <n v="53"/>
    <n v="7"/>
  </r>
  <r>
    <s v="1065"/>
    <x v="43"/>
    <x v="295"/>
    <x v="4"/>
    <s v="Margaret Peacock"/>
    <s v="Forêts d'érables"/>
    <x v="0"/>
    <s v="USA"/>
    <s v="NM"/>
    <s v="Albuquerque"/>
    <n v="28.5"/>
    <n v="10"/>
  </r>
  <r>
    <s v="1065"/>
    <x v="43"/>
    <x v="294"/>
    <x v="76"/>
    <s v="Margaret Peacock"/>
    <s v="New England Seafood Cannery"/>
    <x v="0"/>
    <s v="USA"/>
    <s v="NM"/>
    <s v="Albuquerque"/>
    <n v="14.7"/>
    <n v="20"/>
  </r>
  <r>
    <s v="1065"/>
    <x v="43"/>
    <x v="293"/>
    <x v="53"/>
    <s v="Nancy Davolio"/>
    <s v="Pasta Buttini s.r.l."/>
    <x v="1"/>
    <s v="USA"/>
    <s v="NM"/>
    <s v="Albuquerque"/>
    <n v="19.5"/>
    <n v="20"/>
  </r>
  <r>
    <s v="1014"/>
    <x v="44"/>
    <x v="75"/>
    <x v="22"/>
    <s v="Margaret Peacock"/>
    <s v="Pasta Buttini s.r.l."/>
    <x v="1"/>
    <s v="Switzerland"/>
    <m/>
    <s v="Bern"/>
    <n v="38"/>
    <n v="12"/>
  </r>
  <r>
    <s v="1014"/>
    <x v="44"/>
    <x v="75"/>
    <x v="58"/>
    <s v="Margaret Peacock"/>
    <s v="Svensk Sjöföda AB"/>
    <x v="1"/>
    <s v="Switzerland"/>
    <m/>
    <s v="Bern"/>
    <n v="26"/>
    <n v="8"/>
  </r>
  <r>
    <s v="1014"/>
    <x v="44"/>
    <x v="77"/>
    <x v="28"/>
    <s v="Janet Leverling"/>
    <s v="Pavlova, Ltd."/>
    <x v="1"/>
    <s v="Switzerland"/>
    <m/>
    <s v="Bern"/>
    <n v="43.9"/>
    <n v="30"/>
  </r>
  <r>
    <s v="1014"/>
    <x v="44"/>
    <x v="75"/>
    <x v="9"/>
    <s v="Margaret Peacock"/>
    <s v="Forêts d'érables"/>
    <x v="1"/>
    <s v="Switzerland"/>
    <m/>
    <s v="Bern"/>
    <n v="49.3"/>
    <n v="12"/>
  </r>
  <r>
    <s v="1014"/>
    <x v="44"/>
    <x v="0"/>
    <x v="7"/>
    <s v="Robert King"/>
    <s v="Specialty Biscuits, Ltd."/>
    <x v="0"/>
    <s v="Switzerland"/>
    <m/>
    <s v="Bern"/>
    <n v="10"/>
    <n v="40"/>
  </r>
  <r>
    <s v="1014"/>
    <x v="44"/>
    <x v="204"/>
    <x v="22"/>
    <s v="Margaret Peacock"/>
    <s v="Pasta Buttini s.r.l."/>
    <x v="1"/>
    <s v="Switzerland"/>
    <m/>
    <s v="Bern"/>
    <n v="38"/>
    <n v="20"/>
  </r>
  <r>
    <s v="1014"/>
    <x v="44"/>
    <x v="296"/>
    <x v="35"/>
    <s v="Michael Suyama"/>
    <s v="Gai pâturage"/>
    <x v="0"/>
    <s v="Switzerland"/>
    <m/>
    <s v="Bern"/>
    <n v="34"/>
    <n v="10"/>
  </r>
  <r>
    <s v="1014"/>
    <x v="44"/>
    <x v="215"/>
    <x v="12"/>
    <s v="Nancy Davolio"/>
    <s v="Norske Meierier"/>
    <x v="0"/>
    <s v="Switzerland"/>
    <m/>
    <s v="Bern"/>
    <n v="36"/>
    <n v="40"/>
  </r>
  <r>
    <s v="1014"/>
    <x v="44"/>
    <x v="296"/>
    <x v="43"/>
    <s v="Michael Suyama"/>
    <s v="Tokyo Traders"/>
    <x v="0"/>
    <s v="Switzerland"/>
    <m/>
    <s v="Bern"/>
    <n v="31"/>
    <n v="16"/>
  </r>
  <r>
    <s v="1014"/>
    <x v="44"/>
    <x v="77"/>
    <x v="8"/>
    <s v="Janet Leverling"/>
    <s v="Exotic Liquids"/>
    <x v="1"/>
    <s v="Switzerland"/>
    <m/>
    <s v="Bern"/>
    <n v="19"/>
    <n v="30"/>
  </r>
  <r>
    <s v="1014"/>
    <x v="44"/>
    <x v="215"/>
    <x v="9"/>
    <s v="Nancy Davolio"/>
    <s v="Forêts d'érables"/>
    <x v="0"/>
    <s v="Switzerland"/>
    <m/>
    <s v="Bern"/>
    <n v="49.3"/>
    <n v="9"/>
  </r>
  <r>
    <s v="1014"/>
    <x v="44"/>
    <x v="296"/>
    <x v="22"/>
    <s v="Michael Suyama"/>
    <s v="Pasta Buttini s.r.l."/>
    <x v="0"/>
    <s v="Switzerland"/>
    <m/>
    <s v="Bern"/>
    <n v="38"/>
    <n v="40"/>
  </r>
  <r>
    <s v="1014"/>
    <x v="44"/>
    <x v="204"/>
    <x v="28"/>
    <s v="Margaret Peacock"/>
    <s v="Pavlova, Ltd."/>
    <x v="1"/>
    <s v="Switzerland"/>
    <m/>
    <s v="Bern"/>
    <n v="43.9"/>
    <n v="12"/>
  </r>
  <r>
    <s v="1014"/>
    <x v="44"/>
    <x v="171"/>
    <x v="41"/>
    <s v="Steven Buchanan"/>
    <s v="Refrescos Americanas LTDA"/>
    <x v="0"/>
    <s v="Switzerland"/>
    <m/>
    <s v="Bern"/>
    <n v="3.6"/>
    <n v="15"/>
  </r>
  <r>
    <s v="1014"/>
    <x v="44"/>
    <x v="105"/>
    <x v="46"/>
    <s v="Michael Suyama"/>
    <s v="Exotic Liquids"/>
    <x v="0"/>
    <s v="Switzerland"/>
    <m/>
    <s v="Bern"/>
    <n v="14.4"/>
    <n v="15"/>
  </r>
  <r>
    <s v="1014"/>
    <x v="44"/>
    <x v="215"/>
    <x v="45"/>
    <s v="Nancy Davolio"/>
    <s v="Leka Trading"/>
    <x v="0"/>
    <s v="Switzerland"/>
    <m/>
    <s v="Bern"/>
    <n v="14"/>
    <n v="28"/>
  </r>
  <r>
    <s v="1014"/>
    <x v="44"/>
    <x v="215"/>
    <x v="54"/>
    <s v="Nancy Davolio"/>
    <s v="Mayumi's"/>
    <x v="0"/>
    <s v="Switzerland"/>
    <m/>
    <s v="Bern"/>
    <n v="6"/>
    <n v="6"/>
  </r>
  <r>
    <s v="1014"/>
    <x v="44"/>
    <x v="105"/>
    <x v="74"/>
    <s v="Michael Suyama"/>
    <s v="Tokyo Traders"/>
    <x v="0"/>
    <s v="Switzerland"/>
    <m/>
    <s v="Bern"/>
    <n v="8"/>
    <n v="20"/>
  </r>
  <r>
    <s v="1014"/>
    <x v="44"/>
    <x v="0"/>
    <x v="34"/>
    <s v="Robert King"/>
    <s v="G'day, Mate"/>
    <x v="0"/>
    <s v="Switzerland"/>
    <m/>
    <s v="Bern"/>
    <n v="53"/>
    <n v="30"/>
  </r>
  <r>
    <s v="1014"/>
    <x v="44"/>
    <x v="105"/>
    <x v="62"/>
    <s v="Michael Suyama"/>
    <s v="Plutzer Lebensmittelgroßmärkte AG"/>
    <x v="0"/>
    <s v="Switzerland"/>
    <m/>
    <s v="Bern"/>
    <n v="26.6"/>
    <n v="30"/>
  </r>
  <r>
    <s v="1014"/>
    <x v="44"/>
    <x v="171"/>
    <x v="74"/>
    <s v="Steven Buchanan"/>
    <s v="Tokyo Traders"/>
    <x v="0"/>
    <s v="Switzerland"/>
    <m/>
    <s v="Bern"/>
    <n v="8"/>
    <n v="21"/>
  </r>
  <r>
    <s v="1014"/>
    <x v="44"/>
    <x v="171"/>
    <x v="63"/>
    <s v="Steven Buchanan"/>
    <s v="Ma Maison"/>
    <x v="0"/>
    <s v="Switzerland"/>
    <m/>
    <s v="Bern"/>
    <n v="19.2"/>
    <n v="21"/>
  </r>
  <r>
    <s v="1063"/>
    <x v="45"/>
    <x v="83"/>
    <x v="42"/>
    <s v="Michael Suyama"/>
    <s v="Zaanse Snoepfabriek"/>
    <x v="0"/>
    <s v="Germany"/>
    <m/>
    <s v="Cunewalde"/>
    <n v="12.75"/>
    <n v="24"/>
  </r>
  <r>
    <s v="1063"/>
    <x v="45"/>
    <x v="138"/>
    <x v="56"/>
    <s v="Michael Suyama"/>
    <s v="Las Cabras"/>
    <x v="0"/>
    <s v="Germany"/>
    <m/>
    <s v="Cunewalde"/>
    <n v="21"/>
    <n v="10"/>
  </r>
  <r>
    <s v="1063"/>
    <x v="45"/>
    <x v="83"/>
    <x v="41"/>
    <s v="Michael Suyama"/>
    <s v="Refrescos Americanas LTDA"/>
    <x v="0"/>
    <s v="Germany"/>
    <m/>
    <s v="Cunewalde"/>
    <n v="4.5"/>
    <n v="35"/>
  </r>
  <r>
    <s v="1063"/>
    <x v="45"/>
    <x v="138"/>
    <x v="22"/>
    <s v="Michael Suyama"/>
    <s v="Pasta Buttini s.r.l."/>
    <x v="0"/>
    <s v="Germany"/>
    <m/>
    <s v="Cunewalde"/>
    <n v="38"/>
    <n v="60"/>
  </r>
  <r>
    <s v="1063"/>
    <x v="45"/>
    <x v="247"/>
    <x v="60"/>
    <s v="Robert King"/>
    <s v="Formaggi Fortini s.r.l."/>
    <x v="0"/>
    <s v="Germany"/>
    <m/>
    <s v="Cunewalde"/>
    <n v="12.5"/>
    <n v="20"/>
  </r>
  <r>
    <s v="1063"/>
    <x v="45"/>
    <x v="297"/>
    <x v="30"/>
    <s v="Steven Buchanan"/>
    <s v="Formaggi Fortini s.r.l."/>
    <x v="0"/>
    <s v="Germany"/>
    <m/>
    <s v="Cunewalde"/>
    <n v="27.8"/>
    <n v="42"/>
  </r>
  <r>
    <s v="1063"/>
    <x v="45"/>
    <x v="297"/>
    <x v="35"/>
    <s v="Steven Buchanan"/>
    <s v="Gai pâturage"/>
    <x v="0"/>
    <s v="Germany"/>
    <m/>
    <s v="Cunewalde"/>
    <n v="27.2"/>
    <n v="70"/>
  </r>
  <r>
    <s v="1063"/>
    <x v="45"/>
    <x v="297"/>
    <x v="18"/>
    <s v="Steven Buchanan"/>
    <s v="Aux joyeux ecclésiastiques"/>
    <x v="0"/>
    <s v="Germany"/>
    <m/>
    <s v="Cunewalde"/>
    <n v="210.8"/>
    <n v="40"/>
  </r>
  <r>
    <s v="1063"/>
    <x v="45"/>
    <x v="138"/>
    <x v="71"/>
    <s v="Michael Suyama"/>
    <s v="Karkki Oy"/>
    <x v="0"/>
    <s v="Germany"/>
    <m/>
    <s v="Cunewalde"/>
    <n v="16.25"/>
    <n v="25"/>
  </r>
  <r>
    <s v="1063"/>
    <x v="45"/>
    <x v="83"/>
    <x v="3"/>
    <s v="Michael Suyama"/>
    <s v="New Orleans Cajun Delights"/>
    <x v="0"/>
    <s v="Germany"/>
    <m/>
    <s v="Cunewalde"/>
    <n v="22"/>
    <n v="6"/>
  </r>
  <r>
    <s v="1063"/>
    <x v="45"/>
    <x v="156"/>
    <x v="23"/>
    <s v="Andrew Fuller"/>
    <s v="Specialty Biscuits, Ltd."/>
    <x v="0"/>
    <s v="Germany"/>
    <m/>
    <s v="Cunewalde"/>
    <n v="7.3"/>
    <n v="5"/>
  </r>
  <r>
    <s v="1063"/>
    <x v="45"/>
    <x v="298"/>
    <x v="31"/>
    <s v="Robert King"/>
    <s v="Plutzer Lebensmittelgroßmärkte AG"/>
    <x v="0"/>
    <s v="Germany"/>
    <m/>
    <s v="Cunewalde"/>
    <n v="36.4"/>
    <n v="42"/>
  </r>
  <r>
    <s v="1063"/>
    <x v="45"/>
    <x v="297"/>
    <x v="59"/>
    <s v="Steven Buchanan"/>
    <s v="Specialty Biscuits, Ltd."/>
    <x v="0"/>
    <s v="Germany"/>
    <m/>
    <s v="Cunewalde"/>
    <n v="64.8"/>
    <n v="12"/>
  </r>
  <r>
    <s v="1063"/>
    <x v="45"/>
    <x v="298"/>
    <x v="76"/>
    <s v="Robert King"/>
    <s v="New England Seafood Cannery"/>
    <x v="0"/>
    <s v="Germany"/>
    <m/>
    <s v="Cunewalde"/>
    <n v="14.7"/>
    <n v="2"/>
  </r>
  <r>
    <s v="1063"/>
    <x v="45"/>
    <x v="156"/>
    <x v="0"/>
    <s v="Andrew Fuller"/>
    <s v="Ma Maison"/>
    <x v="0"/>
    <s v="Germany"/>
    <m/>
    <s v="Cunewalde"/>
    <n v="5.9"/>
    <n v="24"/>
  </r>
  <r>
    <s v="1063"/>
    <x v="45"/>
    <x v="298"/>
    <x v="19"/>
    <s v="Robert King"/>
    <s v="Svensk Sjöföda AB"/>
    <x v="0"/>
    <s v="Germany"/>
    <m/>
    <s v="Cunewalde"/>
    <n v="15.2"/>
    <n v="5"/>
  </r>
  <r>
    <s v="1063"/>
    <x v="45"/>
    <x v="298"/>
    <x v="46"/>
    <s v="Robert King"/>
    <s v="Exotic Liquids"/>
    <x v="0"/>
    <s v="Germany"/>
    <m/>
    <s v="Cunewalde"/>
    <n v="14.4"/>
    <n v="10"/>
  </r>
  <r>
    <s v="1063"/>
    <x v="45"/>
    <x v="109"/>
    <x v="3"/>
    <s v="Margaret Peacock"/>
    <s v="New Orleans Cajun Delights"/>
    <x v="1"/>
    <s v="Germany"/>
    <m/>
    <s v="Cunewalde"/>
    <n v="22"/>
    <n v="30"/>
  </r>
  <r>
    <s v="1063"/>
    <x v="45"/>
    <x v="298"/>
    <x v="7"/>
    <s v="Robert King"/>
    <s v="Specialty Biscuits, Ltd."/>
    <x v="0"/>
    <s v="Germany"/>
    <m/>
    <s v="Cunewalde"/>
    <n v="8"/>
    <n v="30"/>
  </r>
  <r>
    <s v="1063"/>
    <x v="45"/>
    <x v="156"/>
    <x v="5"/>
    <s v="Andrew Fuller"/>
    <s v="Heli Süßwaren GmbH &amp; Co. KG"/>
    <x v="0"/>
    <s v="Germany"/>
    <m/>
    <s v="Cunewalde"/>
    <n v="24.9"/>
    <n v="30"/>
  </r>
  <r>
    <s v="1063"/>
    <x v="45"/>
    <x v="109"/>
    <x v="10"/>
    <s v="Margaret Peacock"/>
    <s v="Norske Meierier"/>
    <x v="1"/>
    <s v="Germany"/>
    <m/>
    <s v="Cunewalde"/>
    <n v="2.5"/>
    <n v="40"/>
  </r>
  <r>
    <s v="1063"/>
    <x v="45"/>
    <x v="48"/>
    <x v="49"/>
    <s v="Robert King"/>
    <s v="Karkki Oy"/>
    <x v="1"/>
    <s v="Germany"/>
    <m/>
    <s v="Cunewalde"/>
    <n v="20"/>
    <n v="42"/>
  </r>
  <r>
    <s v="1063"/>
    <x v="45"/>
    <x v="247"/>
    <x v="47"/>
    <s v="Robert King"/>
    <s v="Pavlova, Ltd."/>
    <x v="0"/>
    <s v="Germany"/>
    <m/>
    <s v="Cunewalde"/>
    <n v="15"/>
    <n v="40"/>
  </r>
  <r>
    <s v="1063"/>
    <x v="45"/>
    <x v="247"/>
    <x v="76"/>
    <s v="Robert King"/>
    <s v="New England Seafood Cannery"/>
    <x v="0"/>
    <s v="Germany"/>
    <m/>
    <s v="Cunewalde"/>
    <n v="18.399999999999999"/>
    <n v="24"/>
  </r>
  <r>
    <s v="1063"/>
    <x v="45"/>
    <x v="293"/>
    <x v="51"/>
    <s v="Michael Suyama"/>
    <s v="Norske Meierier"/>
    <x v="1"/>
    <s v="Germany"/>
    <m/>
    <s v="Cunewalde"/>
    <n v="21.5"/>
    <n v="25"/>
  </r>
  <r>
    <s v="1063"/>
    <x v="45"/>
    <x v="109"/>
    <x v="25"/>
    <s v="Margaret Peacock"/>
    <s v="Escargots Nouveaux"/>
    <x v="1"/>
    <s v="Germany"/>
    <m/>
    <s v="Cunewalde"/>
    <n v="13.25"/>
    <n v="15"/>
  </r>
  <r>
    <s v="1063"/>
    <x v="45"/>
    <x v="299"/>
    <x v="16"/>
    <s v="Laura Callahan"/>
    <s v="Plutzer Lebensmittelgroßmärkte AG"/>
    <x v="1"/>
    <s v="Germany"/>
    <m/>
    <s v="Cunewalde"/>
    <n v="13"/>
    <n v="28"/>
  </r>
  <r>
    <s v="1063"/>
    <x v="45"/>
    <x v="300"/>
    <x v="27"/>
    <s v="Laura Callahan"/>
    <s v="Plutzer Lebensmittelgroßmärkte AG"/>
    <x v="1"/>
    <s v="Germany"/>
    <m/>
    <s v="Cunewalde"/>
    <n v="7.75"/>
    <n v="42"/>
  </r>
  <r>
    <s v="1063"/>
    <x v="45"/>
    <x v="300"/>
    <x v="33"/>
    <s v="Laura Callahan"/>
    <s v="Nord-Ost-Fisch Handelsgesellschaft mbH"/>
    <x v="1"/>
    <s v="Germany"/>
    <m/>
    <s v="Cunewalde"/>
    <n v="25.89"/>
    <n v="15"/>
  </r>
  <r>
    <s v="1063"/>
    <x v="45"/>
    <x v="299"/>
    <x v="31"/>
    <s v="Laura Callahan"/>
    <s v="Plutzer Lebensmittelgroßmärkte AG"/>
    <x v="1"/>
    <s v="Germany"/>
    <m/>
    <s v="Cunewalde"/>
    <n v="45.6"/>
    <n v="8"/>
  </r>
  <r>
    <s v="1063"/>
    <x v="45"/>
    <x v="301"/>
    <x v="76"/>
    <s v="Margaret Peacock"/>
    <s v="New England Seafood Cannery"/>
    <x v="0"/>
    <s v="Germany"/>
    <m/>
    <s v="Cunewalde"/>
    <n v="18.399999999999999"/>
    <n v="6"/>
  </r>
  <r>
    <s v="1063"/>
    <x v="45"/>
    <x v="48"/>
    <x v="13"/>
    <s v="Robert King"/>
    <s v="Bigfoot Breweries"/>
    <x v="1"/>
    <s v="Germany"/>
    <m/>
    <s v="Cunewalde"/>
    <n v="18"/>
    <n v="30"/>
  </r>
  <r>
    <s v="1063"/>
    <x v="45"/>
    <x v="30"/>
    <x v="50"/>
    <s v="Laura Callahan"/>
    <s v="G'day, Mate"/>
    <x v="1"/>
    <s v="Germany"/>
    <m/>
    <s v="Cunewalde"/>
    <n v="7"/>
    <n v="6"/>
  </r>
  <r>
    <s v="1063"/>
    <x v="45"/>
    <x v="30"/>
    <x v="40"/>
    <s v="Laura Callahan"/>
    <s v="Karkki Oy"/>
    <x v="1"/>
    <s v="Germany"/>
    <m/>
    <s v="Cunewalde"/>
    <n v="18"/>
    <n v="60"/>
  </r>
  <r>
    <s v="1063"/>
    <x v="45"/>
    <x v="301"/>
    <x v="35"/>
    <s v="Margaret Peacock"/>
    <s v="Gai pâturage"/>
    <x v="0"/>
    <s v="Germany"/>
    <m/>
    <s v="Cunewalde"/>
    <n v="34"/>
    <n v="15"/>
  </r>
  <r>
    <s v="1063"/>
    <x v="45"/>
    <x v="301"/>
    <x v="63"/>
    <s v="Margaret Peacock"/>
    <s v="Ma Maison"/>
    <x v="0"/>
    <s v="Germany"/>
    <m/>
    <s v="Cunewalde"/>
    <n v="24"/>
    <n v="12"/>
  </r>
  <r>
    <s v="1063"/>
    <x v="45"/>
    <x v="299"/>
    <x v="38"/>
    <s v="Laura Callahan"/>
    <s v="Leka Trading"/>
    <x v="1"/>
    <s v="Germany"/>
    <m/>
    <s v="Cunewalde"/>
    <n v="46"/>
    <n v="36"/>
  </r>
  <r>
    <s v="1063"/>
    <x v="45"/>
    <x v="48"/>
    <x v="5"/>
    <s v="Robert King"/>
    <s v="Heli Süßwaren GmbH &amp; Co. KG"/>
    <x v="1"/>
    <s v="Germany"/>
    <m/>
    <s v="Cunewalde"/>
    <n v="31.23"/>
    <n v="20"/>
  </r>
  <r>
    <s v="1063"/>
    <x v="45"/>
    <x v="301"/>
    <x v="33"/>
    <s v="Margaret Peacock"/>
    <s v="Nord-Ost-Fisch Handelsgesellschaft mbH"/>
    <x v="0"/>
    <s v="Germany"/>
    <m/>
    <s v="Cunewalde"/>
    <n v="25.89"/>
    <n v="15"/>
  </r>
  <r>
    <s v="1063"/>
    <x v="45"/>
    <x v="300"/>
    <x v="2"/>
    <s v="Laura Callahan"/>
    <s v="Grandma Kelly's Homestead"/>
    <x v="1"/>
    <s v="Germany"/>
    <m/>
    <s v="Cunewalde"/>
    <n v="40"/>
    <n v="30"/>
  </r>
  <r>
    <s v="1032"/>
    <x v="46"/>
    <x v="302"/>
    <x v="43"/>
    <s v="Margaret Peacock"/>
    <s v="Tokyo Traders"/>
    <x v="0"/>
    <s v="USA"/>
    <s v="OR"/>
    <s v="Eugene"/>
    <n v="31"/>
    <n v="20"/>
  </r>
  <r>
    <s v="1032"/>
    <x v="46"/>
    <x v="176"/>
    <x v="45"/>
    <s v="Margaret Peacock"/>
    <s v="Leka Trading"/>
    <x v="0"/>
    <s v="USA"/>
    <s v="OR"/>
    <s v="Eugene"/>
    <n v="14"/>
    <n v="20"/>
  </r>
  <r>
    <s v="1032"/>
    <x v="46"/>
    <x v="282"/>
    <x v="17"/>
    <s v="Michael Suyama"/>
    <s v="Gai pâturage"/>
    <x v="0"/>
    <s v="USA"/>
    <s v="OR"/>
    <s v="Eugene"/>
    <n v="44"/>
    <n v="20"/>
  </r>
  <r>
    <s v="1032"/>
    <x v="46"/>
    <x v="176"/>
    <x v="33"/>
    <s v="Margaret Peacock"/>
    <s v="Nord-Ost-Fisch Handelsgesellschaft mbH"/>
    <x v="0"/>
    <s v="USA"/>
    <s v="OR"/>
    <s v="Eugene"/>
    <n v="25.89"/>
    <n v="2"/>
  </r>
  <r>
    <s v="1032"/>
    <x v="46"/>
    <x v="87"/>
    <x v="35"/>
    <s v="Nancy Davolio"/>
    <s v="Gai pâturage"/>
    <x v="0"/>
    <s v="USA"/>
    <s v="OR"/>
    <s v="Eugene"/>
    <n v="34"/>
    <n v="10"/>
  </r>
  <r>
    <s v="1032"/>
    <x v="46"/>
    <x v="150"/>
    <x v="27"/>
    <s v="Michael Suyama"/>
    <s v="Plutzer Lebensmittelgroßmärkte AG"/>
    <x v="1"/>
    <s v="USA"/>
    <s v="OR"/>
    <s v="Eugene"/>
    <n v="7.75"/>
    <n v="20"/>
  </r>
  <r>
    <s v="1032"/>
    <x v="46"/>
    <x v="302"/>
    <x v="57"/>
    <s v="Margaret Peacock"/>
    <s v="New England Seafood Cannery"/>
    <x v="0"/>
    <s v="USA"/>
    <s v="OR"/>
    <s v="Eugene"/>
    <n v="9.65"/>
    <n v="4"/>
  </r>
  <r>
    <s v="1032"/>
    <x v="46"/>
    <x v="117"/>
    <x v="40"/>
    <s v="Andrew Fuller"/>
    <s v="Karkki Oy"/>
    <x v="0"/>
    <s v="USA"/>
    <s v="OR"/>
    <s v="Eugene"/>
    <n v="18"/>
    <n v="20"/>
  </r>
  <r>
    <s v="1032"/>
    <x v="46"/>
    <x v="282"/>
    <x v="60"/>
    <s v="Michael Suyama"/>
    <s v="Formaggi Fortini s.r.l."/>
    <x v="0"/>
    <s v="USA"/>
    <s v="OR"/>
    <s v="Eugene"/>
    <n v="10"/>
    <n v="14"/>
  </r>
  <r>
    <s v="1032"/>
    <x v="46"/>
    <x v="303"/>
    <x v="45"/>
    <s v="Robert King"/>
    <s v="Leka Trading"/>
    <x v="1"/>
    <s v="USA"/>
    <s v="OR"/>
    <s v="Eugene"/>
    <n v="14"/>
    <n v="20"/>
  </r>
  <r>
    <s v="1032"/>
    <x v="46"/>
    <x v="87"/>
    <x v="34"/>
    <s v="Nancy Davolio"/>
    <s v="G'day, Mate"/>
    <x v="0"/>
    <s v="USA"/>
    <s v="OR"/>
    <s v="Eugene"/>
    <n v="53"/>
    <n v="28"/>
  </r>
  <r>
    <s v="1032"/>
    <x v="46"/>
    <x v="117"/>
    <x v="70"/>
    <s v="Andrew Fuller"/>
    <s v="Grandma Kelly's Homestead"/>
    <x v="0"/>
    <s v="USA"/>
    <s v="OR"/>
    <s v="Eugene"/>
    <n v="25"/>
    <n v="30"/>
  </r>
  <r>
    <s v="1032"/>
    <x v="46"/>
    <x v="304"/>
    <x v="69"/>
    <s v="Janet Leverling"/>
    <s v="Las Cabras"/>
    <x v="1"/>
    <s v="USA"/>
    <s v="OR"/>
    <s v="Eugene"/>
    <n v="38"/>
    <n v="4"/>
  </r>
  <r>
    <s v="1032"/>
    <x v="46"/>
    <x v="304"/>
    <x v="8"/>
    <s v="Janet Leverling"/>
    <s v="Exotic Liquids"/>
    <x v="1"/>
    <s v="USA"/>
    <s v="OR"/>
    <s v="Eugene"/>
    <n v="19"/>
    <n v="10"/>
  </r>
  <r>
    <s v="1032"/>
    <x v="46"/>
    <x v="254"/>
    <x v="22"/>
    <s v="Michael Suyama"/>
    <s v="Pasta Buttini s.r.l."/>
    <x v="1"/>
    <s v="USA"/>
    <s v="OR"/>
    <s v="Eugene"/>
    <n v="38"/>
    <n v="20"/>
  </r>
  <r>
    <s v="1032"/>
    <x v="46"/>
    <x v="254"/>
    <x v="36"/>
    <s v="Michael Suyama"/>
    <s v="Grandma Kelly's Homestead"/>
    <x v="1"/>
    <s v="USA"/>
    <s v="OR"/>
    <s v="Eugene"/>
    <n v="30"/>
    <n v="3"/>
  </r>
  <r>
    <s v="1032"/>
    <x v="46"/>
    <x v="117"/>
    <x v="33"/>
    <s v="Andrew Fuller"/>
    <s v="Nord-Ost-Fisch Handelsgesellschaft mbH"/>
    <x v="0"/>
    <s v="USA"/>
    <s v="OR"/>
    <s v="Eugene"/>
    <n v="25.89"/>
    <n v="15"/>
  </r>
  <r>
    <s v="1032"/>
    <x v="46"/>
    <x v="87"/>
    <x v="2"/>
    <s v="Nancy Davolio"/>
    <s v="Grandma Kelly's Homestead"/>
    <x v="0"/>
    <s v="USA"/>
    <s v="OR"/>
    <s v="Eugene"/>
    <n v="40"/>
    <n v="40"/>
  </r>
  <r>
    <s v="1032"/>
    <x v="46"/>
    <x v="302"/>
    <x v="72"/>
    <s v="Margaret Peacock"/>
    <s v="Zaanse Snoepfabriek"/>
    <x v="0"/>
    <s v="USA"/>
    <s v="OR"/>
    <s v="Eugene"/>
    <n v="9.5"/>
    <n v="15"/>
  </r>
  <r>
    <s v="1048"/>
    <x v="47"/>
    <x v="270"/>
    <x v="52"/>
    <s v="Margaret Peacock"/>
    <s v="Heli Süßwaren GmbH &amp; Co. KG"/>
    <x v="1"/>
    <s v="USA"/>
    <s v="OR"/>
    <s v="Portland"/>
    <n v="14"/>
    <n v="6"/>
  </r>
  <r>
    <s v="1048"/>
    <x v="47"/>
    <x v="301"/>
    <x v="46"/>
    <s v="Laura Callahan"/>
    <s v="Exotic Liquids"/>
    <x v="0"/>
    <s v="USA"/>
    <s v="OR"/>
    <s v="Portland"/>
    <n v="18"/>
    <n v="50"/>
  </r>
  <r>
    <s v="1048"/>
    <x v="47"/>
    <x v="11"/>
    <x v="13"/>
    <s v="Janet Leverling"/>
    <s v="Bigfoot Breweries"/>
    <x v="0"/>
    <s v="USA"/>
    <s v="OR"/>
    <s v="Portland"/>
    <n v="18"/>
    <n v="9"/>
  </r>
  <r>
    <s v="1048"/>
    <x v="47"/>
    <x v="180"/>
    <x v="35"/>
    <s v="Steven Buchanan"/>
    <s v="Gai pâturage"/>
    <x v="1"/>
    <s v="USA"/>
    <s v="OR"/>
    <s v="Portland"/>
    <n v="34"/>
    <n v="24"/>
  </r>
  <r>
    <s v="1048"/>
    <x v="47"/>
    <x v="270"/>
    <x v="11"/>
    <s v="Janet Leverling"/>
    <s v="Pavlova, Ltd."/>
    <x v="1"/>
    <s v="USA"/>
    <s v="OR"/>
    <s v="Portland"/>
    <n v="62.5"/>
    <n v="25"/>
  </r>
  <r>
    <s v="1048"/>
    <x v="47"/>
    <x v="301"/>
    <x v="7"/>
    <s v="Laura Callahan"/>
    <s v="Specialty Biscuits, Ltd."/>
    <x v="0"/>
    <s v="USA"/>
    <s v="OR"/>
    <s v="Portland"/>
    <n v="10"/>
    <n v="30"/>
  </r>
  <r>
    <s v="1048"/>
    <x v="47"/>
    <x v="242"/>
    <x v="31"/>
    <s v="Nancy Davolio"/>
    <s v="Plutzer Lebensmittelgroßmärkte AG"/>
    <x v="1"/>
    <s v="USA"/>
    <s v="OR"/>
    <s v="Portland"/>
    <n v="45.6"/>
    <n v="20"/>
  </r>
  <r>
    <s v="1048"/>
    <x v="47"/>
    <x v="270"/>
    <x v="19"/>
    <s v="Janet Leverling"/>
    <s v="Svensk Sjöföda AB"/>
    <x v="1"/>
    <s v="USA"/>
    <s v="OR"/>
    <s v="Portland"/>
    <n v="19"/>
    <n v="50"/>
  </r>
  <r>
    <s v="1048"/>
    <x v="47"/>
    <x v="275"/>
    <x v="76"/>
    <s v="Andrew Fuller"/>
    <s v="New England Seafood Cannery"/>
    <x v="1"/>
    <s v="USA"/>
    <s v="OR"/>
    <s v="Portland"/>
    <n v="18.399999999999999"/>
    <n v="20"/>
  </r>
  <r>
    <s v="1048"/>
    <x v="47"/>
    <x v="301"/>
    <x v="71"/>
    <s v="Laura Callahan"/>
    <s v="Karkki Oy"/>
    <x v="0"/>
    <s v="USA"/>
    <s v="OR"/>
    <s v="Portland"/>
    <n v="16.25"/>
    <n v="40"/>
  </r>
  <r>
    <s v="1048"/>
    <x v="47"/>
    <x v="305"/>
    <x v="30"/>
    <s v="Janet Leverling"/>
    <s v="Formaggi Fortini s.r.l."/>
    <x v="0"/>
    <s v="USA"/>
    <s v="OR"/>
    <s v="Portland"/>
    <n v="34.799999999999997"/>
    <n v="60"/>
  </r>
  <r>
    <s v="1048"/>
    <x v="47"/>
    <x v="305"/>
    <x v="39"/>
    <s v="Janet Leverling"/>
    <s v="New Orleans Cajun Delights"/>
    <x v="0"/>
    <s v="USA"/>
    <s v="OR"/>
    <s v="Portland"/>
    <n v="21.05"/>
    <n v="21"/>
  </r>
  <r>
    <s v="1048"/>
    <x v="47"/>
    <x v="119"/>
    <x v="23"/>
    <s v="Laura Callahan"/>
    <s v="Specialty Biscuits, Ltd."/>
    <x v="1"/>
    <s v="USA"/>
    <s v="OR"/>
    <s v="Portland"/>
    <n v="9.1999999999999993"/>
    <n v="15"/>
  </r>
  <r>
    <s v="1048"/>
    <x v="47"/>
    <x v="305"/>
    <x v="21"/>
    <s v="Janet Leverling"/>
    <s v="Lyngbysild"/>
    <x v="0"/>
    <s v="USA"/>
    <s v="OR"/>
    <s v="Portland"/>
    <n v="9.5"/>
    <n v="20"/>
  </r>
  <r>
    <s v="1048"/>
    <x v="47"/>
    <x v="119"/>
    <x v="55"/>
    <s v="Laura Callahan"/>
    <s v="PB Knäckebröd AB"/>
    <x v="1"/>
    <s v="USA"/>
    <s v="OR"/>
    <s v="Portland"/>
    <n v="9"/>
    <n v="18"/>
  </r>
  <r>
    <s v="1048"/>
    <x v="47"/>
    <x v="306"/>
    <x v="47"/>
    <s v="Margaret Peacock"/>
    <s v="Pavlova, Ltd."/>
    <x v="0"/>
    <s v="USA"/>
    <s v="OR"/>
    <s v="Portland"/>
    <n v="12"/>
    <n v="60"/>
  </r>
  <r>
    <s v="1048"/>
    <x v="47"/>
    <x v="242"/>
    <x v="49"/>
    <s v="Nancy Davolio"/>
    <s v="Karkki Oy"/>
    <x v="1"/>
    <s v="USA"/>
    <s v="OR"/>
    <s v="Portland"/>
    <n v="20"/>
    <n v="60"/>
  </r>
  <r>
    <s v="1048"/>
    <x v="47"/>
    <x v="242"/>
    <x v="13"/>
    <s v="Nancy Davolio"/>
    <s v="Bigfoot Breweries"/>
    <x v="1"/>
    <s v="USA"/>
    <s v="OR"/>
    <s v="Portland"/>
    <n v="18"/>
    <n v="24"/>
  </r>
  <r>
    <s v="1048"/>
    <x v="47"/>
    <x v="11"/>
    <x v="23"/>
    <s v="Janet Leverling"/>
    <s v="Specialty Biscuits, Ltd."/>
    <x v="0"/>
    <s v="USA"/>
    <s v="OR"/>
    <s v="Portland"/>
    <n v="9.1999999999999993"/>
    <n v="7"/>
  </r>
  <r>
    <s v="1048"/>
    <x v="47"/>
    <x v="306"/>
    <x v="8"/>
    <s v="Margaret Peacock"/>
    <s v="Exotic Liquids"/>
    <x v="0"/>
    <s v="USA"/>
    <s v="OR"/>
    <s v="Portland"/>
    <n v="15.2"/>
    <n v="20"/>
  </r>
  <r>
    <s v="1048"/>
    <x v="47"/>
    <x v="11"/>
    <x v="25"/>
    <s v="Janet Leverling"/>
    <s v="Escargots Nouveaux"/>
    <x v="0"/>
    <s v="USA"/>
    <s v="OR"/>
    <s v="Portland"/>
    <n v="13.25"/>
    <n v="30"/>
  </r>
  <r>
    <s v="1048"/>
    <x v="47"/>
    <x v="11"/>
    <x v="47"/>
    <s v="Janet Leverling"/>
    <s v="Pavlova, Ltd."/>
    <x v="0"/>
    <s v="USA"/>
    <s v="OR"/>
    <s v="Portland"/>
    <n v="15"/>
    <n v="30"/>
  </r>
  <r>
    <s v="1048"/>
    <x v="47"/>
    <x v="306"/>
    <x v="66"/>
    <s v="Margaret Peacock"/>
    <s v="Exotic Liquids"/>
    <x v="0"/>
    <s v="USA"/>
    <s v="OR"/>
    <s v="Portland"/>
    <n v="8"/>
    <n v="20"/>
  </r>
  <r>
    <s v="1048"/>
    <x v="47"/>
    <x v="270"/>
    <x v="44"/>
    <s v="Margaret Peacock"/>
    <s v="Aux joyeux ecclésiastiques"/>
    <x v="1"/>
    <s v="USA"/>
    <s v="OR"/>
    <s v="Portland"/>
    <n v="18"/>
    <n v="10"/>
  </r>
  <r>
    <s v="1048"/>
    <x v="47"/>
    <x v="306"/>
    <x v="63"/>
    <s v="Margaret Peacock"/>
    <s v="Ma Maison"/>
    <x v="0"/>
    <s v="USA"/>
    <s v="OR"/>
    <s v="Portland"/>
    <n v="19.2"/>
    <n v="30"/>
  </r>
  <r>
    <s v="1048"/>
    <x v="47"/>
    <x v="180"/>
    <x v="21"/>
    <s v="Steven Buchanan"/>
    <s v="Lyngbysild"/>
    <x v="1"/>
    <s v="USA"/>
    <s v="OR"/>
    <s v="Portland"/>
    <n v="9.5"/>
    <n v="30"/>
  </r>
  <r>
    <s v="1048"/>
    <x v="47"/>
    <x v="275"/>
    <x v="1"/>
    <s v="Andrew Fuller"/>
    <s v="Pavlova, Ltd."/>
    <x v="1"/>
    <s v="USA"/>
    <s v="OR"/>
    <s v="Portland"/>
    <n v="17.45"/>
    <n v="24"/>
  </r>
  <r>
    <s v="1048"/>
    <x v="47"/>
    <x v="242"/>
    <x v="53"/>
    <s v="Nancy Davolio"/>
    <s v="Pasta Buttini s.r.l."/>
    <x v="1"/>
    <s v="USA"/>
    <s v="OR"/>
    <s v="Portland"/>
    <n v="19.5"/>
    <n v="28"/>
  </r>
  <r>
    <s v="1048"/>
    <x v="47"/>
    <x v="270"/>
    <x v="46"/>
    <s v="Janet Leverling"/>
    <s v="Exotic Liquids"/>
    <x v="1"/>
    <s v="USA"/>
    <s v="OR"/>
    <s v="Portland"/>
    <n v="18"/>
    <n v="4"/>
  </r>
  <r>
    <s v="1048"/>
    <x v="47"/>
    <x v="275"/>
    <x v="52"/>
    <s v="Andrew Fuller"/>
    <s v="Heli Süßwaren GmbH &amp; Co. KG"/>
    <x v="1"/>
    <s v="USA"/>
    <s v="OR"/>
    <s v="Portland"/>
    <n v="14"/>
    <n v="24"/>
  </r>
  <r>
    <s v="1048"/>
    <x v="47"/>
    <x v="82"/>
    <x v="57"/>
    <s v="Andrew Fuller"/>
    <s v="New England Seafood Cannery"/>
    <x v="1"/>
    <s v="USA"/>
    <s v="OR"/>
    <s v="Portland"/>
    <n v="9.65"/>
    <n v="28"/>
  </r>
  <r>
    <s v="1048"/>
    <x v="47"/>
    <x v="180"/>
    <x v="1"/>
    <s v="Steven Buchanan"/>
    <s v="Pavlova, Ltd."/>
    <x v="1"/>
    <s v="USA"/>
    <s v="OR"/>
    <s v="Portland"/>
    <n v="17.45"/>
    <n v="28"/>
  </r>
  <r>
    <s v="1048"/>
    <x v="47"/>
    <x v="307"/>
    <x v="66"/>
    <s v="Nancy Davolio"/>
    <s v="Exotic Liquids"/>
    <x v="0"/>
    <s v="USA"/>
    <s v="OR"/>
    <s v="Portland"/>
    <n v="8"/>
    <n v="50"/>
  </r>
  <r>
    <s v="1048"/>
    <x v="47"/>
    <x v="180"/>
    <x v="60"/>
    <s v="Steven Buchanan"/>
    <s v="Formaggi Fortini s.r.l."/>
    <x v="1"/>
    <s v="USA"/>
    <s v="OR"/>
    <s v="Portland"/>
    <n v="12.5"/>
    <n v="25"/>
  </r>
  <r>
    <s v="1048"/>
    <x v="47"/>
    <x v="119"/>
    <x v="76"/>
    <s v="Laura Callahan"/>
    <s v="New England Seafood Cannery"/>
    <x v="1"/>
    <s v="USA"/>
    <s v="OR"/>
    <s v="Portland"/>
    <n v="18.399999999999999"/>
    <n v="30"/>
  </r>
  <r>
    <s v="1042"/>
    <x v="48"/>
    <x v="110"/>
    <x v="19"/>
    <s v="Laura Callahan"/>
    <s v="Svensk Sjöföda AB"/>
    <x v="0"/>
    <s v="Canada"/>
    <s v="BC"/>
    <s v="Vancouver"/>
    <n v="19"/>
    <n v="21"/>
  </r>
  <r>
    <s v="1042"/>
    <x v="48"/>
    <x v="308"/>
    <x v="40"/>
    <s v="Michael Suyama"/>
    <s v="Karkki Oy"/>
    <x v="0"/>
    <s v="Canada"/>
    <s v="BC"/>
    <s v="Vancouver"/>
    <n v="14.4"/>
    <n v="20"/>
  </r>
  <r>
    <s v="1042"/>
    <x v="48"/>
    <x v="309"/>
    <x v="52"/>
    <s v="Andrew Fuller"/>
    <s v="Heli Süßwaren GmbH &amp; Co. KG"/>
    <x v="1"/>
    <s v="Canada"/>
    <s v="BC"/>
    <s v="Vancouver"/>
    <n v="14"/>
    <n v="10"/>
  </r>
  <r>
    <s v="1042"/>
    <x v="48"/>
    <x v="187"/>
    <x v="12"/>
    <s v="Margaret Peacock"/>
    <s v="Norske Meierier"/>
    <x v="0"/>
    <s v="Canada"/>
    <s v="BC"/>
    <s v="Vancouver"/>
    <n v="28.8"/>
    <n v="10"/>
  </r>
  <r>
    <s v="1042"/>
    <x v="48"/>
    <x v="187"/>
    <x v="67"/>
    <s v="Margaret Peacock"/>
    <s v="New Orleans Cajun Delights"/>
    <x v="0"/>
    <s v="Canada"/>
    <s v="BC"/>
    <s v="Vancouver"/>
    <n v="13.6"/>
    <n v="10"/>
  </r>
  <r>
    <s v="1042"/>
    <x v="48"/>
    <x v="187"/>
    <x v="39"/>
    <s v="Margaret Peacock"/>
    <s v="New Orleans Cajun Delights"/>
    <x v="0"/>
    <s v="Canada"/>
    <s v="BC"/>
    <s v="Vancouver"/>
    <n v="16.8"/>
    <n v="15"/>
  </r>
  <r>
    <s v="1042"/>
    <x v="48"/>
    <x v="300"/>
    <x v="37"/>
    <s v="Andrew Fuller"/>
    <s v="Plutzer Lebensmittelgroßmärkte AG"/>
    <x v="1"/>
    <s v="Canada"/>
    <s v="BC"/>
    <s v="Vancouver"/>
    <n v="123.79"/>
    <n v="20"/>
  </r>
  <r>
    <s v="1042"/>
    <x v="48"/>
    <x v="310"/>
    <x v="27"/>
    <s v="Laura Callahan"/>
    <s v="Plutzer Lebensmittelgroßmärkte AG"/>
    <x v="0"/>
    <s v="Canada"/>
    <s v="BC"/>
    <s v="Vancouver"/>
    <n v="7.75"/>
    <n v="8"/>
  </r>
  <r>
    <s v="1042"/>
    <x v="48"/>
    <x v="309"/>
    <x v="54"/>
    <s v="Andrew Fuller"/>
    <s v="Mayumi's"/>
    <x v="1"/>
    <s v="Canada"/>
    <s v="BC"/>
    <s v="Vancouver"/>
    <n v="6"/>
    <n v="3"/>
  </r>
  <r>
    <s v="1042"/>
    <x v="48"/>
    <x v="309"/>
    <x v="62"/>
    <s v="Andrew Fuller"/>
    <s v="Plutzer Lebensmittelgroßmärkte AG"/>
    <x v="1"/>
    <s v="Canada"/>
    <s v="BC"/>
    <s v="Vancouver"/>
    <n v="33.25"/>
    <n v="3"/>
  </r>
  <r>
    <s v="1042"/>
    <x v="48"/>
    <x v="105"/>
    <x v="19"/>
    <s v="Nancy Davolio"/>
    <s v="Svensk Sjöföda AB"/>
    <x v="0"/>
    <s v="Canada"/>
    <s v="BC"/>
    <s v="Vancouver"/>
    <n v="15.2"/>
    <n v="6"/>
  </r>
  <r>
    <s v="1042"/>
    <x v="48"/>
    <x v="311"/>
    <x v="12"/>
    <s v="Michael Suyama"/>
    <s v="Norske Meierier"/>
    <x v="0"/>
    <s v="Canada"/>
    <s v="BC"/>
    <s v="Vancouver"/>
    <n v="28.8"/>
    <n v="18"/>
  </r>
  <r>
    <s v="1042"/>
    <x v="48"/>
    <x v="308"/>
    <x v="63"/>
    <s v="Michael Suyama"/>
    <s v="Ma Maison"/>
    <x v="0"/>
    <s v="Canada"/>
    <s v="BC"/>
    <s v="Vancouver"/>
    <n v="19.2"/>
    <n v="10"/>
  </r>
  <r>
    <s v="1042"/>
    <x v="48"/>
    <x v="184"/>
    <x v="75"/>
    <s v="Michael Suyama"/>
    <s v="Mayumi's"/>
    <x v="0"/>
    <s v="Canada"/>
    <s v="BC"/>
    <s v="Vancouver"/>
    <n v="15.5"/>
    <n v="12"/>
  </r>
  <r>
    <s v="1042"/>
    <x v="48"/>
    <x v="311"/>
    <x v="71"/>
    <s v="Michael Suyama"/>
    <s v="Karkki Oy"/>
    <x v="0"/>
    <s v="Canada"/>
    <s v="BC"/>
    <s v="Vancouver"/>
    <n v="13"/>
    <n v="15"/>
  </r>
  <r>
    <s v="1042"/>
    <x v="48"/>
    <x v="184"/>
    <x v="31"/>
    <s v="Michael Suyama"/>
    <s v="Plutzer Lebensmittelgroßmärkte AG"/>
    <x v="0"/>
    <s v="Canada"/>
    <s v="BC"/>
    <s v="Vancouver"/>
    <n v="45.6"/>
    <n v="8"/>
  </r>
  <r>
    <s v="1042"/>
    <x v="48"/>
    <x v="309"/>
    <x v="29"/>
    <s v="Andrew Fuller"/>
    <s v="Leka Trading"/>
    <x v="1"/>
    <s v="Canada"/>
    <s v="BC"/>
    <s v="Vancouver"/>
    <n v="19.45"/>
    <n v="16"/>
  </r>
  <r>
    <s v="1042"/>
    <x v="48"/>
    <x v="164"/>
    <x v="41"/>
    <s v="Robert King"/>
    <s v="Refrescos Americanas LTDA"/>
    <x v="1"/>
    <s v="Canada"/>
    <s v="BC"/>
    <s v="Vancouver"/>
    <n v="4.5"/>
    <n v="10"/>
  </r>
  <r>
    <s v="1042"/>
    <x v="48"/>
    <x v="84"/>
    <x v="26"/>
    <s v="Margaret Peacock"/>
    <s v="Lyngbysild"/>
    <x v="0"/>
    <s v="Canada"/>
    <s v="BC"/>
    <s v="Vancouver"/>
    <n v="9.6"/>
    <n v="10"/>
  </r>
  <r>
    <s v="1042"/>
    <x v="48"/>
    <x v="312"/>
    <x v="41"/>
    <s v="Steven Buchanan"/>
    <s v="Refrescos Americanas LTDA"/>
    <x v="0"/>
    <s v="Canada"/>
    <s v="BC"/>
    <s v="Vancouver"/>
    <n v="3.6"/>
    <n v="10"/>
  </r>
  <r>
    <s v="1042"/>
    <x v="48"/>
    <x v="312"/>
    <x v="20"/>
    <s v="Steven Buchanan"/>
    <s v="Bigfoot Breweries"/>
    <x v="0"/>
    <s v="Canada"/>
    <s v="BC"/>
    <s v="Vancouver"/>
    <n v="11.2"/>
    <n v="10"/>
  </r>
  <r>
    <s v="1042"/>
    <x v="48"/>
    <x v="312"/>
    <x v="19"/>
    <s v="Steven Buchanan"/>
    <s v="Svensk Sjöföda AB"/>
    <x v="0"/>
    <s v="Canada"/>
    <s v="BC"/>
    <s v="Vancouver"/>
    <n v="15.2"/>
    <n v="20"/>
  </r>
  <r>
    <s v="1042"/>
    <x v="48"/>
    <x v="92"/>
    <x v="73"/>
    <s v="Robert King"/>
    <s v="Bigfoot Breweries"/>
    <x v="1"/>
    <s v="Canada"/>
    <s v="BC"/>
    <s v="Vancouver"/>
    <n v="14"/>
    <n v="24"/>
  </r>
  <r>
    <s v="1042"/>
    <x v="48"/>
    <x v="92"/>
    <x v="38"/>
    <s v="Robert King"/>
    <s v="Leka Trading"/>
    <x v="1"/>
    <s v="Canada"/>
    <s v="BC"/>
    <s v="Vancouver"/>
    <n v="46"/>
    <n v="10"/>
  </r>
  <r>
    <s v="1042"/>
    <x v="48"/>
    <x v="84"/>
    <x v="10"/>
    <s v="Margaret Peacock"/>
    <s v="Norske Meierier"/>
    <x v="0"/>
    <s v="Canada"/>
    <s v="BC"/>
    <s v="Vancouver"/>
    <n v="2"/>
    <n v="20"/>
  </r>
  <r>
    <s v="1042"/>
    <x v="48"/>
    <x v="300"/>
    <x v="8"/>
    <s v="Andrew Fuller"/>
    <s v="Exotic Liquids"/>
    <x v="1"/>
    <s v="Canada"/>
    <s v="BC"/>
    <s v="Vancouver"/>
    <n v="19"/>
    <n v="15"/>
  </r>
  <r>
    <s v="1042"/>
    <x v="48"/>
    <x v="313"/>
    <x v="46"/>
    <s v="Janet Leverling"/>
    <s v="Exotic Liquids"/>
    <x v="0"/>
    <s v="Canada"/>
    <s v="BC"/>
    <s v="Vancouver"/>
    <n v="14.4"/>
    <n v="24"/>
  </r>
  <r>
    <s v="1042"/>
    <x v="48"/>
    <x v="313"/>
    <x v="9"/>
    <s v="Janet Leverling"/>
    <s v="Forêts d'érables"/>
    <x v="0"/>
    <s v="Canada"/>
    <s v="BC"/>
    <s v="Vancouver"/>
    <n v="39.4"/>
    <n v="40"/>
  </r>
  <r>
    <s v="1042"/>
    <x v="48"/>
    <x v="313"/>
    <x v="40"/>
    <s v="Janet Leverling"/>
    <s v="Karkki Oy"/>
    <x v="0"/>
    <s v="Canada"/>
    <s v="BC"/>
    <s v="Vancouver"/>
    <n v="14.4"/>
    <n v="14"/>
  </r>
  <r>
    <s v="1042"/>
    <x v="48"/>
    <x v="92"/>
    <x v="45"/>
    <s v="Robert King"/>
    <s v="Leka Trading"/>
    <x v="1"/>
    <s v="Canada"/>
    <s v="BC"/>
    <s v="Vancouver"/>
    <n v="14"/>
    <n v="10"/>
  </r>
  <r>
    <s v="1042"/>
    <x v="48"/>
    <x v="84"/>
    <x v="1"/>
    <s v="Margaret Peacock"/>
    <s v="Pavlova, Ltd."/>
    <x v="0"/>
    <s v="Canada"/>
    <s v="BC"/>
    <s v="Vancouver"/>
    <n v="13.9"/>
    <n v="20"/>
  </r>
  <r>
    <s v="1020"/>
    <x v="49"/>
    <x v="139"/>
    <x v="5"/>
    <s v="Margaret Peacock"/>
    <s v="Heli Süßwaren GmbH &amp; Co. KG"/>
    <x v="1"/>
    <s v="Austria"/>
    <m/>
    <s v="Graz"/>
    <n v="31.23"/>
    <n v="12"/>
  </r>
  <r>
    <s v="1020"/>
    <x v="49"/>
    <x v="160"/>
    <x v="63"/>
    <s v="Laura Callahan"/>
    <s v="Ma Maison"/>
    <x v="1"/>
    <s v="Austria"/>
    <m/>
    <s v="Graz"/>
    <n v="24"/>
    <n v="35"/>
  </r>
  <r>
    <s v="1020"/>
    <x v="49"/>
    <x v="314"/>
    <x v="12"/>
    <s v="Nancy Davolio"/>
    <s v="Norske Meierier"/>
    <x v="0"/>
    <s v="Austria"/>
    <m/>
    <s v="Graz"/>
    <n v="28.8"/>
    <n v="30"/>
  </r>
  <r>
    <s v="1020"/>
    <x v="49"/>
    <x v="314"/>
    <x v="51"/>
    <s v="Nancy Davolio"/>
    <s v="Norske Meierier"/>
    <x v="0"/>
    <s v="Austria"/>
    <m/>
    <s v="Graz"/>
    <n v="17.2"/>
    <n v="5"/>
  </r>
  <r>
    <s v="1020"/>
    <x v="49"/>
    <x v="304"/>
    <x v="46"/>
    <s v="Robert King"/>
    <s v="Exotic Liquids"/>
    <x v="1"/>
    <s v="Austria"/>
    <m/>
    <s v="Graz"/>
    <n v="18"/>
    <n v="25"/>
  </r>
  <r>
    <s v="1020"/>
    <x v="49"/>
    <x v="304"/>
    <x v="64"/>
    <s v="Robert King"/>
    <s v="New Orleans Cajun Delights"/>
    <x v="1"/>
    <s v="Austria"/>
    <m/>
    <s v="Graz"/>
    <n v="21.35"/>
    <n v="30"/>
  </r>
  <r>
    <s v="1020"/>
    <x v="49"/>
    <x v="66"/>
    <x v="13"/>
    <s v="Nancy Davolio"/>
    <s v="Bigfoot Breweries"/>
    <x v="0"/>
    <s v="Austria"/>
    <m/>
    <s v="Graz"/>
    <n v="14.4"/>
    <n v="35"/>
  </r>
  <r>
    <s v="1020"/>
    <x v="49"/>
    <x v="66"/>
    <x v="49"/>
    <s v="Nancy Davolio"/>
    <s v="Karkki Oy"/>
    <x v="0"/>
    <s v="Austria"/>
    <m/>
    <s v="Graz"/>
    <n v="16"/>
    <n v="30"/>
  </r>
  <r>
    <s v="1020"/>
    <x v="49"/>
    <x v="62"/>
    <x v="38"/>
    <s v="Laura Callahan"/>
    <s v="Leka Trading"/>
    <x v="1"/>
    <s v="Austria"/>
    <m/>
    <s v="Graz"/>
    <n v="46"/>
    <n v="6"/>
  </r>
  <r>
    <s v="1020"/>
    <x v="49"/>
    <x v="160"/>
    <x v="36"/>
    <s v="Laura Callahan"/>
    <s v="Grandma Kelly's Homestead"/>
    <x v="1"/>
    <s v="Austria"/>
    <m/>
    <s v="Graz"/>
    <n v="30"/>
    <n v="40"/>
  </r>
  <r>
    <s v="1020"/>
    <x v="49"/>
    <x v="139"/>
    <x v="10"/>
    <s v="Margaret Peacock"/>
    <s v="Norske Meierier"/>
    <x v="1"/>
    <s v="Austria"/>
    <m/>
    <s v="Graz"/>
    <n v="2.5"/>
    <n v="30"/>
  </r>
  <r>
    <s v="1020"/>
    <x v="49"/>
    <x v="139"/>
    <x v="39"/>
    <s v="Margaret Peacock"/>
    <s v="New Orleans Cajun Delights"/>
    <x v="1"/>
    <s v="Austria"/>
    <m/>
    <s v="Graz"/>
    <n v="21.05"/>
    <n v="21"/>
  </r>
  <r>
    <s v="1020"/>
    <x v="49"/>
    <x v="230"/>
    <x v="67"/>
    <s v="Robert King"/>
    <s v="New Orleans Cajun Delights"/>
    <x v="0"/>
    <s v="Austria"/>
    <m/>
    <s v="Graz"/>
    <n v="17"/>
    <n v="24"/>
  </r>
  <r>
    <s v="1020"/>
    <x v="49"/>
    <x v="123"/>
    <x v="3"/>
    <s v="Margaret Peacock"/>
    <s v="New Orleans Cajun Delights"/>
    <x v="0"/>
    <s v="Austria"/>
    <m/>
    <s v="Graz"/>
    <n v="22"/>
    <n v="25"/>
  </r>
  <r>
    <s v="1020"/>
    <x v="49"/>
    <x v="123"/>
    <x v="56"/>
    <s v="Margaret Peacock"/>
    <s v="Las Cabras"/>
    <x v="0"/>
    <s v="Austria"/>
    <m/>
    <s v="Graz"/>
    <n v="21"/>
    <n v="5"/>
  </r>
  <r>
    <s v="1020"/>
    <x v="49"/>
    <x v="66"/>
    <x v="37"/>
    <s v="Nancy Davolio"/>
    <s v="Plutzer Lebensmittelgroßmärkte AG"/>
    <x v="0"/>
    <s v="Austria"/>
    <m/>
    <s v="Graz"/>
    <n v="99"/>
    <n v="21"/>
  </r>
  <r>
    <s v="1020"/>
    <x v="49"/>
    <x v="160"/>
    <x v="35"/>
    <s v="Laura Callahan"/>
    <s v="Gai pâturage"/>
    <x v="1"/>
    <s v="Austria"/>
    <m/>
    <s v="Graz"/>
    <n v="34"/>
    <n v="50"/>
  </r>
  <r>
    <s v="1020"/>
    <x v="49"/>
    <x v="139"/>
    <x v="51"/>
    <s v="Margaret Peacock"/>
    <s v="Norske Meierier"/>
    <x v="1"/>
    <s v="Austria"/>
    <m/>
    <s v="Graz"/>
    <n v="21.5"/>
    <n v="50"/>
  </r>
  <r>
    <s v="1020"/>
    <x v="49"/>
    <x v="230"/>
    <x v="33"/>
    <s v="Robert King"/>
    <s v="Nord-Ost-Fisch Handelsgesellschaft mbH"/>
    <x v="0"/>
    <s v="Austria"/>
    <m/>
    <s v="Graz"/>
    <n v="25.89"/>
    <n v="15"/>
  </r>
  <r>
    <s v="1020"/>
    <x v="49"/>
    <x v="62"/>
    <x v="36"/>
    <s v="Laura Callahan"/>
    <s v="Grandma Kelly's Homestead"/>
    <x v="1"/>
    <s v="Austria"/>
    <m/>
    <s v="Graz"/>
    <n v="30"/>
    <n v="60"/>
  </r>
  <r>
    <s v="1020"/>
    <x v="49"/>
    <x v="62"/>
    <x v="30"/>
    <s v="Laura Callahan"/>
    <s v="Formaggi Fortini s.r.l."/>
    <x v="1"/>
    <s v="Austria"/>
    <m/>
    <s v="Graz"/>
    <n v="34.799999999999997"/>
    <n v="20"/>
  </r>
  <r>
    <s v="1024"/>
    <x v="50"/>
    <x v="315"/>
    <x v="36"/>
    <s v="Margaret Peacock"/>
    <s v="Grandma Kelly's Homestead"/>
    <x v="0"/>
    <s v="Sweden"/>
    <m/>
    <s v="Bräcke"/>
    <n v="30"/>
    <n v="35"/>
  </r>
  <r>
    <s v="1024"/>
    <x v="50"/>
    <x v="120"/>
    <x v="48"/>
    <s v="Janet Leverling"/>
    <s v="PB Knäckebröd AB"/>
    <x v="1"/>
    <s v="Sweden"/>
    <m/>
    <s v="Bräcke"/>
    <n v="21"/>
    <n v="6"/>
  </r>
  <r>
    <s v="1024"/>
    <x v="50"/>
    <x v="315"/>
    <x v="11"/>
    <s v="Margaret Peacock"/>
    <s v="Pavlova, Ltd."/>
    <x v="0"/>
    <s v="Sweden"/>
    <m/>
    <s v="Bräcke"/>
    <n v="62.5"/>
    <n v="50"/>
  </r>
  <r>
    <s v="1024"/>
    <x v="50"/>
    <x v="316"/>
    <x v="0"/>
    <s v="Laura Callahan"/>
    <s v="Ma Maison"/>
    <x v="0"/>
    <s v="Sweden"/>
    <m/>
    <s v="Bräcke"/>
    <n v="5.9"/>
    <n v="6"/>
  </r>
  <r>
    <s v="1024"/>
    <x v="50"/>
    <x v="315"/>
    <x v="27"/>
    <s v="Margaret Peacock"/>
    <s v="Plutzer Lebensmittelgroßmärkte AG"/>
    <x v="0"/>
    <s v="Sweden"/>
    <m/>
    <s v="Bräcke"/>
    <n v="7.75"/>
    <n v="2"/>
  </r>
  <r>
    <s v="1024"/>
    <x v="50"/>
    <x v="120"/>
    <x v="41"/>
    <s v="Janet Leverling"/>
    <s v="Refrescos Americanas LTDA"/>
    <x v="1"/>
    <s v="Sweden"/>
    <m/>
    <s v="Bräcke"/>
    <n v="4.5"/>
    <n v="20"/>
  </r>
  <r>
    <s v="1024"/>
    <x v="50"/>
    <x v="316"/>
    <x v="58"/>
    <s v="Laura Callahan"/>
    <s v="Svensk Sjöföda AB"/>
    <x v="0"/>
    <s v="Sweden"/>
    <m/>
    <s v="Bräcke"/>
    <n v="20.8"/>
    <n v="10"/>
  </r>
  <r>
    <s v="1024"/>
    <x v="50"/>
    <x v="316"/>
    <x v="9"/>
    <s v="Laura Callahan"/>
    <s v="Forêts d'érables"/>
    <x v="0"/>
    <s v="Sweden"/>
    <m/>
    <s v="Bräcke"/>
    <n v="39.4"/>
    <n v="35"/>
  </r>
  <r>
    <s v="1024"/>
    <x v="50"/>
    <x v="254"/>
    <x v="11"/>
    <s v="Nancy Davolio"/>
    <s v="Pavlova, Ltd."/>
    <x v="1"/>
    <s v="Sweden"/>
    <m/>
    <s v="Bräcke"/>
    <n v="62.5"/>
    <n v="30"/>
  </r>
  <r>
    <s v="1024"/>
    <x v="50"/>
    <x v="120"/>
    <x v="7"/>
    <s v="Janet Leverling"/>
    <s v="Specialty Biscuits, Ltd."/>
    <x v="1"/>
    <s v="Sweden"/>
    <m/>
    <s v="Bräcke"/>
    <n v="10"/>
    <n v="40"/>
  </r>
  <r>
    <s v="1024"/>
    <x v="50"/>
    <x v="315"/>
    <x v="34"/>
    <s v="Margaret Peacock"/>
    <s v="G'day, Mate"/>
    <x v="0"/>
    <s v="Sweden"/>
    <m/>
    <s v="Bräcke"/>
    <n v="53"/>
    <n v="15"/>
  </r>
  <r>
    <s v="1024"/>
    <x v="50"/>
    <x v="254"/>
    <x v="28"/>
    <s v="Nancy Davolio"/>
    <s v="Pavlova, Ltd."/>
    <x v="1"/>
    <s v="Sweden"/>
    <m/>
    <s v="Bräcke"/>
    <n v="43.9"/>
    <n v="30"/>
  </r>
  <r>
    <s v="1024"/>
    <x v="50"/>
    <x v="42"/>
    <x v="17"/>
    <s v="Michael Suyama"/>
    <s v="Gai pâturage"/>
    <x v="0"/>
    <s v="Sweden"/>
    <m/>
    <s v="Bräcke"/>
    <n v="44"/>
    <n v="12"/>
  </r>
  <r>
    <s v="1024"/>
    <x v="50"/>
    <x v="254"/>
    <x v="32"/>
    <s v="Nancy Davolio"/>
    <s v="Specialty Biscuits, Ltd."/>
    <x v="1"/>
    <s v="Sweden"/>
    <m/>
    <s v="Bräcke"/>
    <n v="12.5"/>
    <n v="18"/>
  </r>
  <r>
    <s v="1024"/>
    <x v="50"/>
    <x v="254"/>
    <x v="13"/>
    <s v="Nancy Davolio"/>
    <s v="Bigfoot Breweries"/>
    <x v="1"/>
    <s v="Sweden"/>
    <m/>
    <s v="Bräcke"/>
    <n v="18"/>
    <n v="15"/>
  </r>
  <r>
    <s v="1024"/>
    <x v="50"/>
    <x v="42"/>
    <x v="72"/>
    <s v="Michael Suyama"/>
    <s v="Zaanse Snoepfabriek"/>
    <x v="0"/>
    <s v="Sweden"/>
    <m/>
    <s v="Bräcke"/>
    <n v="7.6"/>
    <n v="30"/>
  </r>
  <r>
    <s v="1027"/>
    <x v="51"/>
    <x v="317"/>
    <x v="72"/>
    <s v="Nancy Davolio"/>
    <s v="Zaanse Snoepfabriek"/>
    <x v="0"/>
    <s v="Italy"/>
    <m/>
    <s v="Torino"/>
    <n v="9.5"/>
    <n v="5"/>
  </r>
  <r>
    <s v="1027"/>
    <x v="51"/>
    <x v="148"/>
    <x v="34"/>
    <s v="Janet Leverling"/>
    <s v="G'day, Mate"/>
    <x v="1"/>
    <s v="Italy"/>
    <m/>
    <s v="Torino"/>
    <n v="53"/>
    <n v="3"/>
  </r>
  <r>
    <s v="1027"/>
    <x v="51"/>
    <x v="148"/>
    <x v="40"/>
    <s v="Janet Leverling"/>
    <s v="Karkki Oy"/>
    <x v="1"/>
    <s v="Italy"/>
    <m/>
    <s v="Torino"/>
    <n v="18"/>
    <n v="20"/>
  </r>
  <r>
    <s v="1027"/>
    <x v="51"/>
    <x v="139"/>
    <x v="34"/>
    <s v="Margaret Peacock"/>
    <s v="G'day, Mate"/>
    <x v="1"/>
    <s v="Italy"/>
    <m/>
    <s v="Torino"/>
    <n v="53"/>
    <n v="10"/>
  </r>
  <r>
    <s v="1027"/>
    <x v="51"/>
    <x v="143"/>
    <x v="1"/>
    <s v="Nancy Davolio"/>
    <s v="Pavlova, Ltd."/>
    <x v="0"/>
    <s v="Italy"/>
    <m/>
    <s v="Torino"/>
    <n v="17.45"/>
    <n v="10"/>
  </r>
  <r>
    <s v="1027"/>
    <x v="51"/>
    <x v="125"/>
    <x v="16"/>
    <s v="Andrew Fuller"/>
    <s v="Plutzer Lebensmittelgroßmärkte AG"/>
    <x v="1"/>
    <s v="Italy"/>
    <m/>
    <s v="Torino"/>
    <n v="13"/>
    <n v="10"/>
  </r>
  <r>
    <s v="1027"/>
    <x v="51"/>
    <x v="143"/>
    <x v="9"/>
    <s v="Nancy Davolio"/>
    <s v="Forêts d'érables"/>
    <x v="0"/>
    <s v="Italy"/>
    <m/>
    <s v="Torino"/>
    <n v="49.3"/>
    <n v="10"/>
  </r>
  <r>
    <s v="1027"/>
    <x v="51"/>
    <x v="139"/>
    <x v="11"/>
    <s v="Margaret Peacock"/>
    <s v="Pavlova, Ltd."/>
    <x v="1"/>
    <s v="Italy"/>
    <m/>
    <s v="Torino"/>
    <n v="62.5"/>
    <n v="8"/>
  </r>
  <r>
    <s v="1027"/>
    <x v="51"/>
    <x v="318"/>
    <x v="5"/>
    <s v="Andrew Fuller"/>
    <s v="Heli Süßwaren GmbH &amp; Co. KG"/>
    <x v="0"/>
    <s v="Italy"/>
    <m/>
    <s v="Torino"/>
    <n v="24.9"/>
    <n v="2"/>
  </r>
  <r>
    <s v="1027"/>
    <x v="51"/>
    <x v="74"/>
    <x v="76"/>
    <s v="Margaret Peacock"/>
    <s v="New England Seafood Cannery"/>
    <x v="1"/>
    <s v="Italy"/>
    <m/>
    <s v="Torino"/>
    <n v="18.399999999999999"/>
    <n v="1"/>
  </r>
  <r>
    <s v="1027"/>
    <x v="51"/>
    <x v="267"/>
    <x v="21"/>
    <s v="Janet Leverling"/>
    <s v="Lyngbysild"/>
    <x v="1"/>
    <s v="Italy"/>
    <m/>
    <s v="Torino"/>
    <n v="9.5"/>
    <n v="4"/>
  </r>
  <r>
    <s v="1027"/>
    <x v="51"/>
    <x v="125"/>
    <x v="35"/>
    <s v="Andrew Fuller"/>
    <s v="Gai pâturage"/>
    <x v="1"/>
    <s v="Italy"/>
    <m/>
    <s v="Torino"/>
    <n v="34"/>
    <n v="4"/>
  </r>
  <r>
    <s v="1027"/>
    <x v="51"/>
    <x v="147"/>
    <x v="37"/>
    <s v="Andrew Fuller"/>
    <s v="Plutzer Lebensmittelgroßmärkte AG"/>
    <x v="1"/>
    <s v="Italy"/>
    <m/>
    <s v="Torino"/>
    <n v="123.79"/>
    <n v="14"/>
  </r>
  <r>
    <s v="1027"/>
    <x v="51"/>
    <x v="267"/>
    <x v="74"/>
    <s v="Janet Leverling"/>
    <s v="Tokyo Traders"/>
    <x v="1"/>
    <s v="Italy"/>
    <m/>
    <s v="Torino"/>
    <n v="10"/>
    <n v="5"/>
  </r>
  <r>
    <s v="1027"/>
    <x v="51"/>
    <x v="143"/>
    <x v="39"/>
    <s v="Nancy Davolio"/>
    <s v="New Orleans Cajun Delights"/>
    <x v="0"/>
    <s v="Italy"/>
    <m/>
    <s v="Torino"/>
    <n v="21.05"/>
    <n v="12"/>
  </r>
  <r>
    <s v="1027"/>
    <x v="51"/>
    <x v="317"/>
    <x v="23"/>
    <s v="Nancy Davolio"/>
    <s v="Specialty Biscuits, Ltd."/>
    <x v="0"/>
    <s v="Italy"/>
    <m/>
    <s v="Torino"/>
    <n v="9.1999999999999993"/>
    <n v="5"/>
  </r>
  <r>
    <s v="1026"/>
    <x v="52"/>
    <x v="111"/>
    <x v="37"/>
    <s v="Michael Suyama"/>
    <s v="Plutzer Lebensmittelgroßmärkte AG"/>
    <x v="1"/>
    <s v="France"/>
    <m/>
    <s v="Nantes"/>
    <n v="123.79"/>
    <n v="14"/>
  </r>
  <r>
    <s v="1026"/>
    <x v="52"/>
    <x v="111"/>
    <x v="57"/>
    <s v="Michael Suyama"/>
    <s v="New England Seafood Cannery"/>
    <x v="1"/>
    <s v="France"/>
    <m/>
    <s v="Nantes"/>
    <n v="9.65"/>
    <n v="20"/>
  </r>
  <r>
    <s v="1026"/>
    <x v="52"/>
    <x v="319"/>
    <x v="58"/>
    <s v="Margaret Peacock"/>
    <s v="Svensk Sjöföda AB"/>
    <x v="0"/>
    <s v="France"/>
    <m/>
    <s v="Nantes"/>
    <n v="20.8"/>
    <n v="28"/>
  </r>
  <r>
    <s v="1026"/>
    <x v="52"/>
    <x v="149"/>
    <x v="7"/>
    <s v="Michael Suyama"/>
    <s v="Specialty Biscuits, Ltd."/>
    <x v="1"/>
    <s v="France"/>
    <m/>
    <s v="Nantes"/>
    <n v="10"/>
    <n v="60"/>
  </r>
  <r>
    <s v="1026"/>
    <x v="52"/>
    <x v="320"/>
    <x v="60"/>
    <s v="Margaret Peacock"/>
    <s v="Formaggi Fortini s.r.l."/>
    <x v="0"/>
    <s v="France"/>
    <m/>
    <s v="Nantes"/>
    <n v="10"/>
    <n v="56"/>
  </r>
  <r>
    <s v="1026"/>
    <x v="52"/>
    <x v="104"/>
    <x v="73"/>
    <s v="Margaret Peacock"/>
    <s v="Bigfoot Breweries"/>
    <x v="0"/>
    <s v="France"/>
    <m/>
    <s v="Nantes"/>
    <n v="14"/>
    <n v="25"/>
  </r>
  <r>
    <s v="1026"/>
    <x v="52"/>
    <x v="149"/>
    <x v="27"/>
    <s v="Michael Suyama"/>
    <s v="Plutzer Lebensmittelgroßmärkte AG"/>
    <x v="1"/>
    <s v="France"/>
    <m/>
    <s v="Nantes"/>
    <n v="7.75"/>
    <n v="49"/>
  </r>
  <r>
    <s v="1026"/>
    <x v="52"/>
    <x v="321"/>
    <x v="9"/>
    <s v="Laura Callahan"/>
    <s v="Forêts d'érables"/>
    <x v="0"/>
    <s v="France"/>
    <m/>
    <s v="Nantes"/>
    <n v="49.3"/>
    <n v="15"/>
  </r>
  <r>
    <s v="1026"/>
    <x v="52"/>
    <x v="319"/>
    <x v="30"/>
    <s v="Margaret Peacock"/>
    <s v="Formaggi Fortini s.r.l."/>
    <x v="0"/>
    <s v="France"/>
    <m/>
    <s v="Nantes"/>
    <n v="27.8"/>
    <n v="25"/>
  </r>
  <r>
    <s v="1026"/>
    <x v="52"/>
    <x v="74"/>
    <x v="35"/>
    <s v="Nancy Davolio"/>
    <s v="Gai pâturage"/>
    <x v="0"/>
    <s v="France"/>
    <m/>
    <s v="Nantes"/>
    <n v="34"/>
    <n v="20"/>
  </r>
  <r>
    <s v="1026"/>
    <x v="52"/>
    <x v="321"/>
    <x v="33"/>
    <s v="Laura Callahan"/>
    <s v="Nord-Ost-Fisch Handelsgesellschaft mbH"/>
    <x v="0"/>
    <s v="France"/>
    <m/>
    <s v="Nantes"/>
    <n v="25.89"/>
    <n v="20"/>
  </r>
  <r>
    <s v="1026"/>
    <x v="52"/>
    <x v="320"/>
    <x v="19"/>
    <s v="Margaret Peacock"/>
    <s v="Svensk Sjöföda AB"/>
    <x v="0"/>
    <s v="France"/>
    <m/>
    <s v="Nantes"/>
    <n v="15.2"/>
    <n v="40"/>
  </r>
  <r>
    <s v="1026"/>
    <x v="52"/>
    <x v="74"/>
    <x v="1"/>
    <s v="Nancy Davolio"/>
    <s v="Pavlova, Ltd."/>
    <x v="0"/>
    <s v="France"/>
    <m/>
    <s v="Nantes"/>
    <n v="17.45"/>
    <n v="30"/>
  </r>
  <r>
    <s v="1026"/>
    <x v="52"/>
    <x v="320"/>
    <x v="63"/>
    <s v="Margaret Peacock"/>
    <s v="Ma Maison"/>
    <x v="0"/>
    <s v="France"/>
    <m/>
    <s v="Nantes"/>
    <n v="19.2"/>
    <n v="40"/>
  </r>
  <r>
    <s v="1026"/>
    <x v="52"/>
    <x v="104"/>
    <x v="24"/>
    <s v="Margaret Peacock"/>
    <s v="Svensk Sjöföda AB"/>
    <x v="0"/>
    <s v="France"/>
    <m/>
    <s v="Nantes"/>
    <n v="15"/>
    <n v="50"/>
  </r>
  <r>
    <s v="1026"/>
    <x v="52"/>
    <x v="320"/>
    <x v="8"/>
    <s v="Margaret Peacock"/>
    <s v="Exotic Liquids"/>
    <x v="0"/>
    <s v="France"/>
    <m/>
    <s v="Nantes"/>
    <n v="15.2"/>
    <n v="24"/>
  </r>
  <r>
    <s v="1026"/>
    <x v="52"/>
    <x v="104"/>
    <x v="27"/>
    <s v="Margaret Peacock"/>
    <s v="Plutzer Lebensmittelgroßmärkte AG"/>
    <x v="0"/>
    <s v="France"/>
    <m/>
    <s v="Nantes"/>
    <n v="7.75"/>
    <n v="25"/>
  </r>
  <r>
    <s v="1026"/>
    <x v="52"/>
    <x v="104"/>
    <x v="26"/>
    <s v="Margaret Peacock"/>
    <s v="Lyngbysild"/>
    <x v="0"/>
    <s v="France"/>
    <m/>
    <s v="Nantes"/>
    <n v="12"/>
    <n v="60"/>
  </r>
  <r>
    <s v="1026"/>
    <x v="52"/>
    <x v="148"/>
    <x v="41"/>
    <s v="Nancy Davolio"/>
    <s v="Refrescos Americanas LTDA"/>
    <x v="1"/>
    <s v="France"/>
    <m/>
    <s v="Nantes"/>
    <n v="4.5"/>
    <n v="40"/>
  </r>
  <r>
    <s v="1026"/>
    <x v="52"/>
    <x v="319"/>
    <x v="5"/>
    <s v="Margaret Peacock"/>
    <s v="Heli Süßwaren GmbH &amp; Co. KG"/>
    <x v="0"/>
    <s v="France"/>
    <m/>
    <s v="Nantes"/>
    <n v="24.9"/>
    <n v="24"/>
  </r>
  <r>
    <s v="1026"/>
    <x v="52"/>
    <x v="149"/>
    <x v="16"/>
    <s v="Michael Suyama"/>
    <s v="Plutzer Lebensmittelgroßmärkte AG"/>
    <x v="1"/>
    <s v="France"/>
    <m/>
    <s v="Nantes"/>
    <n v="13"/>
    <n v="15"/>
  </r>
  <r>
    <s v="1026"/>
    <x v="52"/>
    <x v="300"/>
    <x v="6"/>
    <s v="Steven Buchanan"/>
    <s v="G'day, Mate"/>
    <x v="0"/>
    <s v="France"/>
    <m/>
    <s v="Nantes"/>
    <n v="32.799999999999997"/>
    <n v="10"/>
  </r>
  <r>
    <s v="1026"/>
    <x v="52"/>
    <x v="104"/>
    <x v="55"/>
    <s v="Margaret Peacock"/>
    <s v="PB Knäckebröd AB"/>
    <x v="0"/>
    <s v="France"/>
    <m/>
    <s v="Nantes"/>
    <n v="9"/>
    <n v="32"/>
  </r>
  <r>
    <s v="1026"/>
    <x v="52"/>
    <x v="322"/>
    <x v="41"/>
    <s v="Laura Callahan"/>
    <s v="Refrescos Americanas LTDA"/>
    <x v="0"/>
    <s v="France"/>
    <m/>
    <s v="Nantes"/>
    <n v="4.5"/>
    <n v="3"/>
  </r>
  <r>
    <s v="1026"/>
    <x v="52"/>
    <x v="300"/>
    <x v="68"/>
    <s v="Steven Buchanan"/>
    <s v="Mayumi's"/>
    <x v="0"/>
    <s v="France"/>
    <m/>
    <s v="Nantes"/>
    <n v="23.25"/>
    <n v="30"/>
  </r>
  <r>
    <s v="1026"/>
    <x v="52"/>
    <x v="322"/>
    <x v="7"/>
    <s v="Laura Callahan"/>
    <s v="Specialty Biscuits, Ltd."/>
    <x v="0"/>
    <s v="France"/>
    <m/>
    <s v="Nantes"/>
    <n v="10"/>
    <n v="25"/>
  </r>
  <r>
    <s v="1026"/>
    <x v="52"/>
    <x v="323"/>
    <x v="17"/>
    <s v="Laura Callahan"/>
    <s v="Gai pâturage"/>
    <x v="0"/>
    <s v="France"/>
    <m/>
    <s v="Nantes"/>
    <n v="44"/>
    <n v="30"/>
  </r>
  <r>
    <s v="1026"/>
    <x v="52"/>
    <x v="319"/>
    <x v="19"/>
    <s v="Margaret Peacock"/>
    <s v="Svensk Sjöföda AB"/>
    <x v="0"/>
    <s v="France"/>
    <m/>
    <s v="Nantes"/>
    <n v="15.2"/>
    <n v="20"/>
  </r>
  <r>
    <s v="1026"/>
    <x v="52"/>
    <x v="323"/>
    <x v="24"/>
    <s v="Laura Callahan"/>
    <s v="Svensk Sjöföda AB"/>
    <x v="0"/>
    <s v="France"/>
    <m/>
    <s v="Nantes"/>
    <n v="12"/>
    <n v="20"/>
  </r>
  <r>
    <s v="1026"/>
    <x v="52"/>
    <x v="129"/>
    <x v="35"/>
    <s v="Nancy Davolio"/>
    <s v="Gai pâturage"/>
    <x v="1"/>
    <s v="France"/>
    <m/>
    <s v="Nantes"/>
    <n v="34"/>
    <n v="36"/>
  </r>
  <r>
    <s v="1026"/>
    <x v="52"/>
    <x v="129"/>
    <x v="23"/>
    <s v="Nancy Davolio"/>
    <s v="Specialty Biscuits, Ltd."/>
    <x v="1"/>
    <s v="France"/>
    <m/>
    <s v="Nantes"/>
    <n v="9.1999999999999993"/>
    <n v="50"/>
  </r>
  <r>
    <s v="1026"/>
    <x v="52"/>
    <x v="322"/>
    <x v="23"/>
    <s v="Laura Callahan"/>
    <s v="Specialty Biscuits, Ltd."/>
    <x v="0"/>
    <s v="France"/>
    <m/>
    <s v="Nantes"/>
    <n v="9.1999999999999993"/>
    <n v="15"/>
  </r>
  <r>
    <s v="1026"/>
    <x v="52"/>
    <x v="322"/>
    <x v="68"/>
    <s v="Laura Callahan"/>
    <s v="Mayumi's"/>
    <x v="0"/>
    <s v="France"/>
    <m/>
    <s v="Nantes"/>
    <n v="23.25"/>
    <n v="21"/>
  </r>
  <r>
    <s v="1026"/>
    <x v="52"/>
    <x v="322"/>
    <x v="13"/>
    <s v="Laura Callahan"/>
    <s v="Bigfoot Breweries"/>
    <x v="0"/>
    <s v="France"/>
    <m/>
    <s v="Nantes"/>
    <n v="18"/>
    <n v="30"/>
  </r>
  <r>
    <s v="1026"/>
    <x v="52"/>
    <x v="295"/>
    <x v="7"/>
    <s v="Nancy Davolio"/>
    <s v="Specialty Biscuits, Ltd."/>
    <x v="0"/>
    <s v="France"/>
    <m/>
    <s v="Nantes"/>
    <n v="10"/>
    <n v="32"/>
  </r>
  <r>
    <s v="1026"/>
    <x v="52"/>
    <x v="129"/>
    <x v="51"/>
    <s v="Nancy Davolio"/>
    <s v="Norske Meierier"/>
    <x v="1"/>
    <s v="France"/>
    <m/>
    <s v="Nantes"/>
    <n v="21.5"/>
    <n v="60"/>
  </r>
  <r>
    <s v="1026"/>
    <x v="52"/>
    <x v="295"/>
    <x v="0"/>
    <s v="Nancy Davolio"/>
    <s v="Ma Maison"/>
    <x v="0"/>
    <s v="France"/>
    <m/>
    <s v="Nantes"/>
    <n v="7.45"/>
    <n v="15"/>
  </r>
  <r>
    <s v="1026"/>
    <x v="52"/>
    <x v="295"/>
    <x v="12"/>
    <s v="Nancy Davolio"/>
    <s v="Norske Meierier"/>
    <x v="0"/>
    <s v="France"/>
    <m/>
    <s v="Nantes"/>
    <n v="36"/>
    <n v="25"/>
  </r>
  <r>
    <s v="1026"/>
    <x v="52"/>
    <x v="324"/>
    <x v="40"/>
    <s v="Margaret Peacock"/>
    <s v="Karkki Oy"/>
    <x v="0"/>
    <s v="France"/>
    <m/>
    <s v="Nantes"/>
    <n v="14.4"/>
    <n v="15"/>
  </r>
  <r>
    <s v="1026"/>
    <x v="52"/>
    <x v="148"/>
    <x v="62"/>
    <s v="Nancy Davolio"/>
    <s v="Plutzer Lebensmittelgroßmärkte AG"/>
    <x v="1"/>
    <s v="France"/>
    <m/>
    <s v="Nantes"/>
    <n v="33.25"/>
    <n v="30"/>
  </r>
  <r>
    <s v="1026"/>
    <x v="52"/>
    <x v="148"/>
    <x v="0"/>
    <s v="Nancy Davolio"/>
    <s v="Ma Maison"/>
    <x v="1"/>
    <s v="France"/>
    <m/>
    <s v="Nantes"/>
    <n v="7.45"/>
    <n v="35"/>
  </r>
  <r>
    <s v="1026"/>
    <x v="52"/>
    <x v="35"/>
    <x v="30"/>
    <s v="Nancy Davolio"/>
    <s v="Formaggi Fortini s.r.l."/>
    <x v="0"/>
    <s v="France"/>
    <m/>
    <s v="Nantes"/>
    <n v="27.8"/>
    <n v="21"/>
  </r>
  <r>
    <s v="1026"/>
    <x v="52"/>
    <x v="35"/>
    <x v="51"/>
    <s v="Nancy Davolio"/>
    <s v="Norske Meierier"/>
    <x v="0"/>
    <s v="France"/>
    <m/>
    <s v="Nantes"/>
    <n v="17.2"/>
    <n v="60"/>
  </r>
  <r>
    <s v="1026"/>
    <x v="52"/>
    <x v="35"/>
    <x v="55"/>
    <s v="Nancy Davolio"/>
    <s v="PB Knäckebröd AB"/>
    <x v="0"/>
    <s v="France"/>
    <m/>
    <s v="Nantes"/>
    <n v="7.2"/>
    <n v="40"/>
  </r>
  <r>
    <s v="1026"/>
    <x v="52"/>
    <x v="324"/>
    <x v="17"/>
    <s v="Margaret Peacock"/>
    <s v="Gai pâturage"/>
    <x v="0"/>
    <s v="France"/>
    <m/>
    <s v="Nantes"/>
    <n v="44"/>
    <n v="70"/>
  </r>
  <r>
    <s v="1026"/>
    <x v="52"/>
    <x v="300"/>
    <x v="25"/>
    <s v="Steven Buchanan"/>
    <s v="Escargots Nouveaux"/>
    <x v="0"/>
    <s v="France"/>
    <m/>
    <s v="Nantes"/>
    <n v="13.25"/>
    <n v="30"/>
  </r>
  <r>
    <s v="1026"/>
    <x v="52"/>
    <x v="324"/>
    <x v="76"/>
    <s v="Margaret Peacock"/>
    <s v="New England Seafood Cannery"/>
    <x v="0"/>
    <s v="France"/>
    <m/>
    <s v="Nantes"/>
    <n v="14.7"/>
    <n v="50"/>
  </r>
  <r>
    <s v="1026"/>
    <x v="52"/>
    <x v="319"/>
    <x v="55"/>
    <s v="Margaret Peacock"/>
    <s v="PB Knäckebröd AB"/>
    <x v="0"/>
    <s v="France"/>
    <m/>
    <s v="Nantes"/>
    <n v="7.2"/>
    <n v="40"/>
  </r>
  <r>
    <s v="1009"/>
    <x v="53"/>
    <x v="193"/>
    <x v="0"/>
    <s v="Janet Leverling"/>
    <s v="Ma Maison"/>
    <x v="0"/>
    <s v="France"/>
    <m/>
    <s v="Marseille"/>
    <n v="5.9"/>
    <n v="24"/>
  </r>
  <r>
    <s v="1009"/>
    <x v="53"/>
    <x v="325"/>
    <x v="76"/>
    <s v="Nancy Davolio"/>
    <s v="New England Seafood Cannery"/>
    <x v="0"/>
    <s v="France"/>
    <m/>
    <s v="Marseille"/>
    <n v="18.399999999999999"/>
    <n v="15"/>
  </r>
  <r>
    <s v="1009"/>
    <x v="53"/>
    <x v="46"/>
    <x v="62"/>
    <s v="Robert King"/>
    <s v="Plutzer Lebensmittelgroßmärkte AG"/>
    <x v="1"/>
    <s v="France"/>
    <m/>
    <s v="Marseille"/>
    <n v="33.25"/>
    <n v="20"/>
  </r>
  <r>
    <s v="1009"/>
    <x v="53"/>
    <x v="243"/>
    <x v="1"/>
    <s v="Laura Callahan"/>
    <s v="Pavlova, Ltd."/>
    <x v="1"/>
    <s v="France"/>
    <m/>
    <s v="Marseille"/>
    <n v="17.45"/>
    <n v="30"/>
  </r>
  <r>
    <s v="1009"/>
    <x v="53"/>
    <x v="326"/>
    <x v="43"/>
    <s v="Janet Leverling"/>
    <s v="Tokyo Traders"/>
    <x v="0"/>
    <s v="France"/>
    <m/>
    <s v="Marseille"/>
    <n v="31"/>
    <n v="21"/>
  </r>
  <r>
    <s v="1009"/>
    <x v="53"/>
    <x v="46"/>
    <x v="26"/>
    <s v="Robert King"/>
    <s v="Lyngbysild"/>
    <x v="1"/>
    <s v="France"/>
    <m/>
    <s v="Marseille"/>
    <n v="12"/>
    <n v="21"/>
  </r>
  <r>
    <s v="1009"/>
    <x v="53"/>
    <x v="327"/>
    <x v="22"/>
    <s v="Margaret Peacock"/>
    <s v="Pasta Buttini s.r.l."/>
    <x v="1"/>
    <s v="France"/>
    <m/>
    <s v="Marseille"/>
    <n v="38"/>
    <n v="30"/>
  </r>
  <r>
    <s v="1009"/>
    <x v="53"/>
    <x v="327"/>
    <x v="72"/>
    <s v="Margaret Peacock"/>
    <s v="Zaanse Snoepfabriek"/>
    <x v="1"/>
    <s v="France"/>
    <m/>
    <s v="Marseille"/>
    <n v="9.5"/>
    <n v="30"/>
  </r>
  <r>
    <s v="1009"/>
    <x v="53"/>
    <x v="328"/>
    <x v="11"/>
    <s v="Nancy Davolio"/>
    <s v="Pavlova, Ltd."/>
    <x v="0"/>
    <s v="France"/>
    <m/>
    <s v="Marseille"/>
    <n v="50"/>
    <n v="20"/>
  </r>
  <r>
    <s v="1009"/>
    <x v="53"/>
    <x v="29"/>
    <x v="34"/>
    <s v="Andrew Fuller"/>
    <s v="G'day, Mate"/>
    <x v="0"/>
    <s v="France"/>
    <m/>
    <s v="Marseille"/>
    <n v="53"/>
    <n v="20"/>
  </r>
  <r>
    <s v="1009"/>
    <x v="53"/>
    <x v="328"/>
    <x v="38"/>
    <s v="Nancy Davolio"/>
    <s v="Leka Trading"/>
    <x v="0"/>
    <s v="France"/>
    <m/>
    <s v="Marseille"/>
    <n v="36.799999999999997"/>
    <n v="40"/>
  </r>
  <r>
    <s v="1009"/>
    <x v="53"/>
    <x v="325"/>
    <x v="19"/>
    <s v="Nancy Davolio"/>
    <s v="Svensk Sjöföda AB"/>
    <x v="0"/>
    <s v="France"/>
    <m/>
    <s v="Marseille"/>
    <n v="19"/>
    <n v="30"/>
  </r>
  <r>
    <s v="1009"/>
    <x v="53"/>
    <x v="328"/>
    <x v="57"/>
    <s v="Nancy Davolio"/>
    <s v="New England Seafood Cannery"/>
    <x v="0"/>
    <s v="France"/>
    <m/>
    <s v="Marseille"/>
    <n v="7.7"/>
    <n v="12"/>
  </r>
  <r>
    <s v="1009"/>
    <x v="53"/>
    <x v="193"/>
    <x v="52"/>
    <s v="Janet Leverling"/>
    <s v="Heli Süßwaren GmbH &amp; Co. KG"/>
    <x v="0"/>
    <s v="France"/>
    <m/>
    <s v="Marseille"/>
    <n v="11.2"/>
    <n v="50"/>
  </r>
  <r>
    <s v="1009"/>
    <x v="53"/>
    <x v="193"/>
    <x v="34"/>
    <s v="Janet Leverling"/>
    <s v="G'day, Mate"/>
    <x v="0"/>
    <s v="France"/>
    <m/>
    <s v="Marseille"/>
    <n v="42.4"/>
    <n v="20"/>
  </r>
  <r>
    <s v="1009"/>
    <x v="53"/>
    <x v="1"/>
    <x v="55"/>
    <s v="Margaret Peacock"/>
    <s v="PB Knäckebröd AB"/>
    <x v="0"/>
    <s v="France"/>
    <m/>
    <s v="Marseille"/>
    <n v="7.2"/>
    <n v="15"/>
  </r>
  <r>
    <s v="1009"/>
    <x v="53"/>
    <x v="326"/>
    <x v="51"/>
    <s v="Janet Leverling"/>
    <s v="Norske Meierier"/>
    <x v="0"/>
    <s v="France"/>
    <m/>
    <s v="Marseille"/>
    <n v="21.5"/>
    <n v="30"/>
  </r>
  <r>
    <s v="1009"/>
    <x v="53"/>
    <x v="29"/>
    <x v="76"/>
    <s v="Andrew Fuller"/>
    <s v="New England Seafood Cannery"/>
    <x v="0"/>
    <s v="France"/>
    <m/>
    <s v="Marseille"/>
    <n v="18.399999999999999"/>
    <n v="30"/>
  </r>
  <r>
    <s v="1009"/>
    <x v="53"/>
    <x v="61"/>
    <x v="23"/>
    <s v="Margaret Peacock"/>
    <s v="Specialty Biscuits, Ltd."/>
    <x v="1"/>
    <s v="France"/>
    <m/>
    <s v="Marseille"/>
    <n v="9.1999999999999993"/>
    <n v="10"/>
  </r>
  <r>
    <s v="1009"/>
    <x v="53"/>
    <x v="61"/>
    <x v="68"/>
    <s v="Margaret Peacock"/>
    <s v="Mayumi's"/>
    <x v="1"/>
    <s v="France"/>
    <m/>
    <s v="Marseille"/>
    <n v="23.25"/>
    <n v="20"/>
  </r>
  <r>
    <s v="1009"/>
    <x v="53"/>
    <x v="61"/>
    <x v="70"/>
    <s v="Margaret Peacock"/>
    <s v="Grandma Kelly's Homestead"/>
    <x v="1"/>
    <s v="France"/>
    <m/>
    <s v="Marseille"/>
    <n v="25"/>
    <n v="20"/>
  </r>
  <r>
    <s v="1009"/>
    <x v="53"/>
    <x v="329"/>
    <x v="2"/>
    <s v="Margaret Peacock"/>
    <s v="Grandma Kelly's Homestead"/>
    <x v="0"/>
    <s v="France"/>
    <m/>
    <s v="Marseille"/>
    <n v="40"/>
    <n v="10"/>
  </r>
  <r>
    <s v="1009"/>
    <x v="53"/>
    <x v="329"/>
    <x v="36"/>
    <s v="Margaret Peacock"/>
    <s v="Grandma Kelly's Homestead"/>
    <x v="0"/>
    <s v="France"/>
    <m/>
    <s v="Marseille"/>
    <n v="30"/>
    <n v="50"/>
  </r>
  <r>
    <s v="1009"/>
    <x v="53"/>
    <x v="329"/>
    <x v="3"/>
    <s v="Margaret Peacock"/>
    <s v="New Orleans Cajun Delights"/>
    <x v="0"/>
    <s v="France"/>
    <m/>
    <s v="Marseille"/>
    <n v="22"/>
    <n v="50"/>
  </r>
  <r>
    <s v="1009"/>
    <x v="53"/>
    <x v="243"/>
    <x v="30"/>
    <s v="Laura Callahan"/>
    <s v="Formaggi Fortini s.r.l."/>
    <x v="1"/>
    <s v="France"/>
    <m/>
    <s v="Marseille"/>
    <n v="34.799999999999997"/>
    <n v="16"/>
  </r>
  <r>
    <s v="1009"/>
    <x v="53"/>
    <x v="1"/>
    <x v="11"/>
    <s v="Margaret Peacock"/>
    <s v="Pavlova, Ltd."/>
    <x v="0"/>
    <s v="France"/>
    <m/>
    <s v="Marseille"/>
    <n v="50"/>
    <n v="30"/>
  </r>
  <r>
    <s v="1009"/>
    <x v="53"/>
    <x v="243"/>
    <x v="27"/>
    <s v="Laura Callahan"/>
    <s v="Plutzer Lebensmittelgroßmärkte AG"/>
    <x v="1"/>
    <s v="France"/>
    <m/>
    <s v="Marseille"/>
    <n v="7.75"/>
    <n v="20"/>
  </r>
  <r>
    <s v="1009"/>
    <x v="53"/>
    <x v="1"/>
    <x v="62"/>
    <s v="Margaret Peacock"/>
    <s v="Plutzer Lebensmittelgroßmärkte AG"/>
    <x v="0"/>
    <s v="France"/>
    <m/>
    <s v="Marseille"/>
    <n v="26.6"/>
    <n v="8"/>
  </r>
  <r>
    <s v="1009"/>
    <x v="53"/>
    <x v="330"/>
    <x v="39"/>
    <s v="Steven Buchanan"/>
    <s v="New Orleans Cajun Delights"/>
    <x v="0"/>
    <s v="France"/>
    <m/>
    <s v="Marseille"/>
    <n v="21.05"/>
    <n v="10"/>
  </r>
  <r>
    <s v="1009"/>
    <x v="53"/>
    <x v="330"/>
    <x v="60"/>
    <s v="Steven Buchanan"/>
    <s v="Formaggi Fortini s.r.l."/>
    <x v="0"/>
    <s v="France"/>
    <m/>
    <s v="Marseille"/>
    <n v="12.5"/>
    <n v="3"/>
  </r>
  <r>
    <s v="1009"/>
    <x v="53"/>
    <x v="330"/>
    <x v="1"/>
    <s v="Steven Buchanan"/>
    <s v="Pavlova, Ltd."/>
    <x v="0"/>
    <s v="France"/>
    <m/>
    <s v="Marseille"/>
    <n v="17.45"/>
    <n v="15"/>
  </r>
  <r>
    <s v="1009"/>
    <x v="53"/>
    <x v="240"/>
    <x v="15"/>
    <s v="Anne Dodsworth"/>
    <s v="Pavlova, Ltd."/>
    <x v="1"/>
    <s v="France"/>
    <m/>
    <s v="Marseille"/>
    <n v="39"/>
    <n v="16"/>
  </r>
  <r>
    <s v="1009"/>
    <x v="53"/>
    <x v="240"/>
    <x v="1"/>
    <s v="Anne Dodsworth"/>
    <s v="Pavlova, Ltd."/>
    <x v="1"/>
    <s v="France"/>
    <m/>
    <s v="Marseille"/>
    <n v="17.45"/>
    <n v="12"/>
  </r>
  <r>
    <s v="1009"/>
    <x v="53"/>
    <x v="240"/>
    <x v="70"/>
    <s v="Anne Dodsworth"/>
    <s v="Grandma Kelly's Homestead"/>
    <x v="1"/>
    <s v="France"/>
    <m/>
    <s v="Marseille"/>
    <n v="25"/>
    <n v="50"/>
  </r>
  <r>
    <s v="1009"/>
    <x v="53"/>
    <x v="96"/>
    <x v="43"/>
    <s v="Nancy Davolio"/>
    <s v="Tokyo Traders"/>
    <x v="1"/>
    <s v="France"/>
    <m/>
    <s v="Marseille"/>
    <n v="31"/>
    <n v="15"/>
  </r>
  <r>
    <s v="1009"/>
    <x v="53"/>
    <x v="96"/>
    <x v="44"/>
    <s v="Nancy Davolio"/>
    <s v="Aux joyeux ecclésiastiques"/>
    <x v="1"/>
    <s v="France"/>
    <m/>
    <s v="Marseille"/>
    <n v="18"/>
    <n v="21"/>
  </r>
  <r>
    <s v="1009"/>
    <x v="53"/>
    <x v="0"/>
    <x v="40"/>
    <s v="Janet Leverling"/>
    <s v="Karkki Oy"/>
    <x v="0"/>
    <s v="France"/>
    <m/>
    <s v="Marseille"/>
    <n v="18"/>
    <n v="20"/>
  </r>
  <r>
    <s v="1009"/>
    <x v="53"/>
    <x v="243"/>
    <x v="9"/>
    <s v="Laura Callahan"/>
    <s v="Forêts d'érables"/>
    <x v="1"/>
    <s v="France"/>
    <m/>
    <s v="Marseille"/>
    <n v="49.3"/>
    <n v="14"/>
  </r>
  <r>
    <s v="1009"/>
    <x v="53"/>
    <x v="29"/>
    <x v="45"/>
    <s v="Andrew Fuller"/>
    <s v="Leka Trading"/>
    <x v="0"/>
    <s v="France"/>
    <m/>
    <s v="Marseille"/>
    <n v="14"/>
    <n v="30"/>
  </r>
  <r>
    <s v="1009"/>
    <x v="53"/>
    <x v="327"/>
    <x v="53"/>
    <s v="Margaret Peacock"/>
    <s v="Pasta Buttini s.r.l."/>
    <x v="1"/>
    <s v="France"/>
    <m/>
    <s v="Marseille"/>
    <n v="19.5"/>
    <n v="14"/>
  </r>
  <r>
    <s v="1009"/>
    <x v="53"/>
    <x v="128"/>
    <x v="36"/>
    <s v="Laura Callahan"/>
    <s v="Grandma Kelly's Homestead"/>
    <x v="1"/>
    <s v="France"/>
    <m/>
    <s v="Marseille"/>
    <n v="30"/>
    <n v="8"/>
  </r>
  <r>
    <s v="1009"/>
    <x v="53"/>
    <x v="128"/>
    <x v="54"/>
    <s v="Laura Callahan"/>
    <s v="Mayumi's"/>
    <x v="1"/>
    <s v="France"/>
    <m/>
    <s v="Marseille"/>
    <n v="6"/>
    <n v="20"/>
  </r>
  <r>
    <s v="1009"/>
    <x v="53"/>
    <x v="327"/>
    <x v="12"/>
    <s v="Margaret Peacock"/>
    <s v="Norske Meierier"/>
    <x v="1"/>
    <s v="France"/>
    <m/>
    <s v="Marseille"/>
    <n v="36"/>
    <n v="25"/>
  </r>
  <r>
    <s v="1009"/>
    <x v="53"/>
    <x v="106"/>
    <x v="0"/>
    <s v="Anne Dodsworth"/>
    <s v="Ma Maison"/>
    <x v="0"/>
    <s v="France"/>
    <m/>
    <s v="Marseille"/>
    <n v="5.9"/>
    <n v="15"/>
  </r>
  <r>
    <s v="1033"/>
    <x v="54"/>
    <x v="201"/>
    <x v="18"/>
    <s v="Margaret Peacock"/>
    <s v="Aux joyeux ecclésiastiques"/>
    <x v="1"/>
    <s v="Venezuela"/>
    <s v="DF"/>
    <s v="Caracas"/>
    <n v="263.5"/>
    <n v="30"/>
  </r>
  <r>
    <s v="1033"/>
    <x v="54"/>
    <x v="331"/>
    <x v="47"/>
    <s v="Nancy Davolio"/>
    <s v="Pavlova, Ltd."/>
    <x v="0"/>
    <s v="Venezuela"/>
    <s v="DF"/>
    <s v="Caracas"/>
    <n v="15"/>
    <n v="15"/>
  </r>
  <r>
    <s v="1033"/>
    <x v="54"/>
    <x v="331"/>
    <x v="18"/>
    <s v="Nancy Davolio"/>
    <s v="Aux joyeux ecclésiastiques"/>
    <x v="0"/>
    <s v="Venezuela"/>
    <s v="DF"/>
    <s v="Caracas"/>
    <n v="263.5"/>
    <n v="15"/>
  </r>
  <r>
    <s v="1033"/>
    <x v="54"/>
    <x v="201"/>
    <x v="9"/>
    <s v="Margaret Peacock"/>
    <s v="Forêts d'érables"/>
    <x v="1"/>
    <s v="Venezuela"/>
    <s v="DF"/>
    <s v="Caracas"/>
    <n v="49.3"/>
    <n v="20"/>
  </r>
  <r>
    <s v="1033"/>
    <x v="54"/>
    <x v="155"/>
    <x v="23"/>
    <s v="Janet Leverling"/>
    <s v="Specialty Biscuits, Ltd."/>
    <x v="0"/>
    <s v="Venezuela"/>
    <s v="DF"/>
    <s v="Caracas"/>
    <n v="9.1999999999999993"/>
    <n v="30"/>
  </r>
  <r>
    <s v="1033"/>
    <x v="54"/>
    <x v="331"/>
    <x v="22"/>
    <s v="Nancy Davolio"/>
    <s v="Pasta Buttini s.r.l."/>
    <x v="0"/>
    <s v="Venezuela"/>
    <s v="DF"/>
    <s v="Caracas"/>
    <n v="38"/>
    <n v="14"/>
  </r>
  <r>
    <s v="1033"/>
    <x v="54"/>
    <x v="210"/>
    <x v="19"/>
    <s v="Janet Leverling"/>
    <s v="Svensk Sjöföda AB"/>
    <x v="1"/>
    <s v="Venezuela"/>
    <s v="DF"/>
    <s v="Caracas"/>
    <n v="19"/>
    <n v="30"/>
  </r>
  <r>
    <s v="1033"/>
    <x v="54"/>
    <x v="260"/>
    <x v="72"/>
    <s v="Michael Suyama"/>
    <s v="Zaanse Snoepfabriek"/>
    <x v="0"/>
    <s v="Venezuela"/>
    <s v="DF"/>
    <s v="Caracas"/>
    <n v="9.5"/>
    <n v="6"/>
  </r>
  <r>
    <s v="1033"/>
    <x v="54"/>
    <x v="77"/>
    <x v="7"/>
    <s v="Margaret Peacock"/>
    <s v="Specialty Biscuits, Ltd."/>
    <x v="1"/>
    <s v="Venezuela"/>
    <s v="DF"/>
    <s v="Caracas"/>
    <n v="10"/>
    <n v="20"/>
  </r>
  <r>
    <s v="1033"/>
    <x v="54"/>
    <x v="331"/>
    <x v="17"/>
    <s v="Margaret Peacock"/>
    <s v="Gai pâturage"/>
    <x v="0"/>
    <s v="Venezuela"/>
    <s v="DF"/>
    <s v="Caracas"/>
    <n v="55"/>
    <n v="30"/>
  </r>
  <r>
    <s v="1033"/>
    <x v="54"/>
    <x v="260"/>
    <x v="29"/>
    <s v="Michael Suyama"/>
    <s v="Leka Trading"/>
    <x v="0"/>
    <s v="Venezuela"/>
    <s v="DF"/>
    <s v="Caracas"/>
    <n v="19.45"/>
    <n v="28"/>
  </r>
  <r>
    <s v="1033"/>
    <x v="54"/>
    <x v="332"/>
    <x v="30"/>
    <s v="Michael Suyama"/>
    <s v="Formaggi Fortini s.r.l."/>
    <x v="0"/>
    <s v="Venezuela"/>
    <s v="DF"/>
    <s v="Caracas"/>
    <n v="34.799999999999997"/>
    <n v="9"/>
  </r>
  <r>
    <s v="1033"/>
    <x v="54"/>
    <x v="116"/>
    <x v="37"/>
    <s v="Janet Leverling"/>
    <s v="Plutzer Lebensmittelgroßmärkte AG"/>
    <x v="1"/>
    <s v="Venezuela"/>
    <s v="DF"/>
    <s v="Caracas"/>
    <n v="123.79"/>
    <n v="2"/>
  </r>
  <r>
    <s v="1033"/>
    <x v="54"/>
    <x v="125"/>
    <x v="35"/>
    <s v="Margaret Peacock"/>
    <s v="Gai pâturage"/>
    <x v="1"/>
    <s v="Venezuela"/>
    <s v="DF"/>
    <s v="Caracas"/>
    <n v="34"/>
    <n v="15"/>
  </r>
  <r>
    <s v="1033"/>
    <x v="54"/>
    <x v="333"/>
    <x v="13"/>
    <s v="Laura Callahan"/>
    <s v="Bigfoot Breweries"/>
    <x v="0"/>
    <s v="Venezuela"/>
    <s v="DF"/>
    <s v="Caracas"/>
    <n v="18"/>
    <n v="4"/>
  </r>
  <r>
    <s v="1033"/>
    <x v="54"/>
    <x v="332"/>
    <x v="56"/>
    <s v="Michael Suyama"/>
    <s v="Las Cabras"/>
    <x v="0"/>
    <s v="Venezuela"/>
    <s v="DF"/>
    <s v="Caracas"/>
    <n v="21"/>
    <n v="3"/>
  </r>
  <r>
    <s v="1033"/>
    <x v="54"/>
    <x v="155"/>
    <x v="62"/>
    <s v="Janet Leverling"/>
    <s v="Plutzer Lebensmittelgroßmärkte AG"/>
    <x v="0"/>
    <s v="Venezuela"/>
    <s v="DF"/>
    <s v="Caracas"/>
    <n v="33.25"/>
    <n v="28"/>
  </r>
  <r>
    <s v="1033"/>
    <x v="54"/>
    <x v="116"/>
    <x v="46"/>
    <s v="Janet Leverling"/>
    <s v="Exotic Liquids"/>
    <x v="1"/>
    <s v="Venezuela"/>
    <s v="DF"/>
    <s v="Caracas"/>
    <n v="18"/>
    <n v="8"/>
  </r>
  <r>
    <s v="1033"/>
    <x v="54"/>
    <x v="260"/>
    <x v="68"/>
    <s v="Michael Suyama"/>
    <s v="Mayumi's"/>
    <x v="0"/>
    <s v="Venezuela"/>
    <s v="DF"/>
    <s v="Caracas"/>
    <n v="23.25"/>
    <n v="3"/>
  </r>
  <r>
    <s v="1033"/>
    <x v="54"/>
    <x v="155"/>
    <x v="7"/>
    <s v="Janet Leverling"/>
    <s v="Specialty Biscuits, Ltd."/>
    <x v="0"/>
    <s v="Venezuela"/>
    <s v="DF"/>
    <s v="Caracas"/>
    <n v="10"/>
    <n v="12"/>
  </r>
  <r>
    <s v="1033"/>
    <x v="54"/>
    <x v="332"/>
    <x v="10"/>
    <s v="Michael Suyama"/>
    <s v="Norske Meierier"/>
    <x v="0"/>
    <s v="Venezuela"/>
    <s v="DF"/>
    <s v="Caracas"/>
    <n v="2.5"/>
    <n v="8"/>
  </r>
  <r>
    <s v="1033"/>
    <x v="54"/>
    <x v="331"/>
    <x v="51"/>
    <s v="Nancy Davolio"/>
    <s v="Norske Meierier"/>
    <x v="0"/>
    <s v="Venezuela"/>
    <s v="DF"/>
    <s v="Caracas"/>
    <n v="21.5"/>
    <n v="15"/>
  </r>
  <r>
    <s v="1083"/>
    <x v="55"/>
    <x v="334"/>
    <x v="27"/>
    <s v="Anne Dodsworth"/>
    <s v="Plutzer Lebensmittelgroßmärkte AG"/>
    <x v="0"/>
    <s v="Denmark"/>
    <m/>
    <s v="Århus"/>
    <n v="7.75"/>
    <n v="20"/>
  </r>
  <r>
    <s v="1083"/>
    <x v="55"/>
    <x v="334"/>
    <x v="16"/>
    <s v="Anne Dodsworth"/>
    <s v="Plutzer Lebensmittelgroßmärkte AG"/>
    <x v="0"/>
    <s v="Denmark"/>
    <m/>
    <s v="Århus"/>
    <n v="13"/>
    <n v="18"/>
  </r>
  <r>
    <s v="1083"/>
    <x v="55"/>
    <x v="17"/>
    <x v="9"/>
    <s v="Michael Suyama"/>
    <s v="Forêts d'érables"/>
    <x v="1"/>
    <s v="Denmark"/>
    <m/>
    <s v="Århus"/>
    <n v="49.3"/>
    <n v="3"/>
  </r>
  <r>
    <s v="1083"/>
    <x v="55"/>
    <x v="17"/>
    <x v="47"/>
    <s v="Michael Suyama"/>
    <s v="Pavlova, Ltd."/>
    <x v="1"/>
    <s v="Denmark"/>
    <m/>
    <s v="Århus"/>
    <n v="15"/>
    <n v="6"/>
  </r>
  <r>
    <s v="1083"/>
    <x v="55"/>
    <x v="280"/>
    <x v="62"/>
    <s v="Margaret Peacock"/>
    <s v="Plutzer Lebensmittelgroßmärkte AG"/>
    <x v="0"/>
    <s v="Denmark"/>
    <m/>
    <s v="Århus"/>
    <n v="33.25"/>
    <n v="6"/>
  </r>
  <r>
    <s v="1083"/>
    <x v="55"/>
    <x v="334"/>
    <x v="44"/>
    <s v="Anne Dodsworth"/>
    <s v="Aux joyeux ecclésiastiques"/>
    <x v="0"/>
    <s v="Denmark"/>
    <m/>
    <s v="Århus"/>
    <n v="18"/>
    <n v="10"/>
  </r>
  <r>
    <s v="1083"/>
    <x v="55"/>
    <x v="280"/>
    <x v="9"/>
    <s v="Margaret Peacock"/>
    <s v="Forêts d'érables"/>
    <x v="0"/>
    <s v="Denmark"/>
    <m/>
    <s v="Århus"/>
    <n v="49.3"/>
    <n v="10"/>
  </r>
  <r>
    <s v="1083"/>
    <x v="55"/>
    <x v="280"/>
    <x v="76"/>
    <s v="Margaret Peacock"/>
    <s v="New England Seafood Cannery"/>
    <x v="0"/>
    <s v="Denmark"/>
    <m/>
    <s v="Århus"/>
    <n v="18.399999999999999"/>
    <n v="2"/>
  </r>
  <r>
    <s v="1083"/>
    <x v="55"/>
    <x v="280"/>
    <x v="10"/>
    <s v="Margaret Peacock"/>
    <s v="Norske Meierier"/>
    <x v="0"/>
    <s v="Denmark"/>
    <m/>
    <s v="Århus"/>
    <n v="2.5"/>
    <n v="14"/>
  </r>
  <r>
    <s v="1012"/>
    <x v="56"/>
    <x v="115"/>
    <x v="24"/>
    <s v="Margaret Peacock"/>
    <s v="Svensk Sjöföda AB"/>
    <x v="1"/>
    <s v="Argentina"/>
    <m/>
    <s v="Buenos Aires"/>
    <n v="15"/>
    <n v="10"/>
  </r>
  <r>
    <s v="1012"/>
    <x v="56"/>
    <x v="73"/>
    <x v="27"/>
    <s v="Andrew Fuller"/>
    <s v="Plutzer Lebensmittelgroßmärkte AG"/>
    <x v="1"/>
    <s v="Argentina"/>
    <m/>
    <s v="Buenos Aires"/>
    <n v="7.75"/>
    <n v="20"/>
  </r>
  <r>
    <s v="1012"/>
    <x v="56"/>
    <x v="73"/>
    <x v="38"/>
    <s v="Andrew Fuller"/>
    <s v="Leka Trading"/>
    <x v="1"/>
    <s v="Argentina"/>
    <m/>
    <s v="Buenos Aires"/>
    <n v="46"/>
    <n v="7"/>
  </r>
  <r>
    <s v="1012"/>
    <x v="56"/>
    <x v="335"/>
    <x v="13"/>
    <s v="Laura Callahan"/>
    <s v="Bigfoot Breweries"/>
    <x v="0"/>
    <s v="Argentina"/>
    <m/>
    <s v="Buenos Aires"/>
    <n v="18"/>
    <n v="3"/>
  </r>
  <r>
    <s v="1012"/>
    <x v="56"/>
    <x v="160"/>
    <x v="10"/>
    <s v="Laura Callahan"/>
    <s v="Norske Meierier"/>
    <x v="1"/>
    <s v="Argentina"/>
    <m/>
    <s v="Buenos Aires"/>
    <n v="2.5"/>
    <n v="10"/>
  </r>
  <r>
    <s v="1012"/>
    <x v="56"/>
    <x v="128"/>
    <x v="31"/>
    <s v="Robert King"/>
    <s v="Plutzer Lebensmittelgroßmärkte AG"/>
    <x v="1"/>
    <s v="Argentina"/>
    <m/>
    <s v="Buenos Aires"/>
    <n v="45.6"/>
    <n v="8"/>
  </r>
  <r>
    <s v="1012"/>
    <x v="56"/>
    <x v="143"/>
    <x v="60"/>
    <s v="Anne Dodsworth"/>
    <s v="Formaggi Fortini s.r.l."/>
    <x v="1"/>
    <s v="Argentina"/>
    <m/>
    <s v="Buenos Aires"/>
    <n v="12.5"/>
    <n v="1"/>
  </r>
  <r>
    <s v="1012"/>
    <x v="56"/>
    <x v="335"/>
    <x v="32"/>
    <s v="Laura Callahan"/>
    <s v="Specialty Biscuits, Ltd."/>
    <x v="0"/>
    <s v="Argentina"/>
    <m/>
    <s v="Buenos Aires"/>
    <n v="12.5"/>
    <n v="6"/>
  </r>
  <r>
    <s v="1012"/>
    <x v="56"/>
    <x v="160"/>
    <x v="73"/>
    <s v="Laura Callahan"/>
    <s v="Bigfoot Breweries"/>
    <x v="1"/>
    <s v="Argentina"/>
    <m/>
    <s v="Buenos Aires"/>
    <n v="14"/>
    <n v="20"/>
  </r>
  <r>
    <s v="1012"/>
    <x v="56"/>
    <x v="128"/>
    <x v="20"/>
    <s v="Robert King"/>
    <s v="Bigfoot Breweries"/>
    <x v="1"/>
    <s v="Argentina"/>
    <m/>
    <s v="Buenos Aires"/>
    <n v="14"/>
    <n v="20"/>
  </r>
  <r>
    <s v="1012"/>
    <x v="56"/>
    <x v="335"/>
    <x v="57"/>
    <s v="Laura Callahan"/>
    <s v="New England Seafood Cannery"/>
    <x v="0"/>
    <s v="Argentina"/>
    <m/>
    <s v="Buenos Aires"/>
    <n v="9.65"/>
    <n v="10"/>
  </r>
  <r>
    <s v="1085"/>
    <x v="57"/>
    <x v="336"/>
    <x v="43"/>
    <s v="Andrew Fuller"/>
    <s v="Tokyo Traders"/>
    <x v="0"/>
    <s v="France"/>
    <m/>
    <s v="Reims"/>
    <n v="24.8"/>
    <n v="20"/>
  </r>
  <r>
    <s v="1085"/>
    <x v="57"/>
    <x v="93"/>
    <x v="52"/>
    <s v="Nancy Davolio"/>
    <s v="Heli Süßwaren GmbH &amp; Co. KG"/>
    <x v="1"/>
    <s v="France"/>
    <m/>
    <s v="Reims"/>
    <n v="14"/>
    <n v="20"/>
  </r>
  <r>
    <s v="1085"/>
    <x v="57"/>
    <x v="52"/>
    <x v="36"/>
    <s v="Nancy Davolio"/>
    <s v="Grandma Kelly's Homestead"/>
    <x v="0"/>
    <s v="France"/>
    <m/>
    <s v="Reims"/>
    <n v="30"/>
    <n v="10"/>
  </r>
  <r>
    <s v="1085"/>
    <x v="57"/>
    <x v="155"/>
    <x v="74"/>
    <s v="Janet Leverling"/>
    <s v="Tokyo Traders"/>
    <x v="1"/>
    <s v="France"/>
    <m/>
    <s v="Reims"/>
    <n v="10"/>
    <n v="15"/>
  </r>
  <r>
    <s v="1085"/>
    <x v="57"/>
    <x v="155"/>
    <x v="39"/>
    <s v="Janet Leverling"/>
    <s v="New Orleans Cajun Delights"/>
    <x v="1"/>
    <s v="France"/>
    <m/>
    <s v="Reims"/>
    <n v="21.05"/>
    <n v="2"/>
  </r>
  <r>
    <s v="1085"/>
    <x v="57"/>
    <x v="155"/>
    <x v="8"/>
    <s v="Janet Leverling"/>
    <s v="Exotic Liquids"/>
    <x v="1"/>
    <s v="France"/>
    <m/>
    <s v="Reims"/>
    <n v="19"/>
    <n v="20"/>
  </r>
  <r>
    <s v="1085"/>
    <x v="57"/>
    <x v="52"/>
    <x v="9"/>
    <s v="Nancy Davolio"/>
    <s v="Forêts d'érables"/>
    <x v="0"/>
    <s v="France"/>
    <m/>
    <s v="Reims"/>
    <n v="49.3"/>
    <n v="40"/>
  </r>
  <r>
    <s v="1085"/>
    <x v="57"/>
    <x v="37"/>
    <x v="4"/>
    <s v="Janet Leverling"/>
    <s v="Forêts d'érables"/>
    <x v="1"/>
    <s v="France"/>
    <m/>
    <s v="Reims"/>
    <n v="28.5"/>
    <n v="30"/>
  </r>
  <r>
    <s v="1085"/>
    <x v="57"/>
    <x v="52"/>
    <x v="13"/>
    <s v="Nancy Davolio"/>
    <s v="Bigfoot Breweries"/>
    <x v="0"/>
    <s v="France"/>
    <m/>
    <s v="Reims"/>
    <n v="18"/>
    <n v="30"/>
  </r>
  <r>
    <s v="1085"/>
    <x v="57"/>
    <x v="250"/>
    <x v="43"/>
    <s v="Laura Callahan"/>
    <s v="Tokyo Traders"/>
    <x v="0"/>
    <s v="France"/>
    <m/>
    <s v="Reims"/>
    <n v="24.8"/>
    <n v="20"/>
  </r>
  <r>
    <s v="1085"/>
    <x v="57"/>
    <x v="51"/>
    <x v="32"/>
    <s v="Laura Callahan"/>
    <s v="Specialty Biscuits, Ltd."/>
    <x v="0"/>
    <s v="France"/>
    <m/>
    <s v="Reims"/>
    <n v="10"/>
    <n v="10"/>
  </r>
  <r>
    <s v="1085"/>
    <x v="57"/>
    <x v="51"/>
    <x v="50"/>
    <s v="Laura Callahan"/>
    <s v="G'day, Mate"/>
    <x v="0"/>
    <s v="France"/>
    <m/>
    <s v="Reims"/>
    <n v="5.6"/>
    <n v="8"/>
  </r>
  <r>
    <s v="1085"/>
    <x v="57"/>
    <x v="37"/>
    <x v="38"/>
    <s v="Janet Leverling"/>
    <s v="Leka Trading"/>
    <x v="1"/>
    <s v="France"/>
    <m/>
    <s v="Reims"/>
    <n v="46"/>
    <n v="20"/>
  </r>
  <r>
    <s v="1085"/>
    <x v="57"/>
    <x v="93"/>
    <x v="10"/>
    <s v="Nancy Davolio"/>
    <s v="Norske Meierier"/>
    <x v="1"/>
    <s v="France"/>
    <m/>
    <s v="Reims"/>
    <n v="2.5"/>
    <n v="4"/>
  </r>
  <r>
    <s v="1085"/>
    <x v="57"/>
    <x v="165"/>
    <x v="48"/>
    <s v="Janet Leverling"/>
    <s v="PB Knäckebröd AB"/>
    <x v="0"/>
    <s v="France"/>
    <m/>
    <s v="Reims"/>
    <n v="16.8"/>
    <n v="6"/>
  </r>
  <r>
    <s v="1085"/>
    <x v="57"/>
    <x v="165"/>
    <x v="53"/>
    <s v="Janet Leverling"/>
    <s v="Pasta Buttini s.r.l."/>
    <x v="0"/>
    <s v="France"/>
    <m/>
    <s v="Reims"/>
    <n v="15.6"/>
    <n v="15"/>
  </r>
  <r>
    <s v="1085"/>
    <x v="57"/>
    <x v="165"/>
    <x v="39"/>
    <s v="Janet Leverling"/>
    <s v="New Orleans Cajun Delights"/>
    <x v="0"/>
    <s v="France"/>
    <m/>
    <s v="Reims"/>
    <n v="16.8"/>
    <n v="20"/>
  </r>
  <r>
    <s v="1085"/>
    <x v="57"/>
    <x v="93"/>
    <x v="47"/>
    <s v="Nancy Davolio"/>
    <s v="Pavlova, Ltd."/>
    <x v="1"/>
    <s v="France"/>
    <m/>
    <s v="Reims"/>
    <n v="15"/>
    <n v="30"/>
  </r>
  <r>
    <s v="1085"/>
    <x v="57"/>
    <x v="337"/>
    <x v="30"/>
    <s v="Margaret Peacock"/>
    <s v="Formaggi Fortini s.r.l."/>
    <x v="0"/>
    <s v="France"/>
    <m/>
    <s v="Reims"/>
    <n v="27.8"/>
    <n v="40"/>
  </r>
  <r>
    <s v="1085"/>
    <x v="57"/>
    <x v="219"/>
    <x v="34"/>
    <s v="Margaret Peacock"/>
    <s v="G'day, Mate"/>
    <x v="1"/>
    <s v="France"/>
    <m/>
    <s v="Reims"/>
    <n v="53"/>
    <n v="4"/>
  </r>
  <r>
    <s v="1085"/>
    <x v="57"/>
    <x v="337"/>
    <x v="26"/>
    <s v="Margaret Peacock"/>
    <s v="Lyngbysild"/>
    <x v="0"/>
    <s v="France"/>
    <m/>
    <s v="Reims"/>
    <n v="9.6"/>
    <n v="20"/>
  </r>
  <r>
    <s v="1085"/>
    <x v="57"/>
    <x v="337"/>
    <x v="36"/>
    <s v="Margaret Peacock"/>
    <s v="Grandma Kelly's Homestead"/>
    <x v="0"/>
    <s v="France"/>
    <m/>
    <s v="Reims"/>
    <n v="24"/>
    <n v="16"/>
  </r>
  <r>
    <s v="1085"/>
    <x v="57"/>
    <x v="250"/>
    <x v="0"/>
    <s v="Laura Callahan"/>
    <s v="Ma Maison"/>
    <x v="0"/>
    <s v="France"/>
    <m/>
    <s v="Reims"/>
    <n v="5.9"/>
    <n v="6"/>
  </r>
  <r>
    <s v="1085"/>
    <x v="57"/>
    <x v="37"/>
    <x v="42"/>
    <s v="Janet Leverling"/>
    <s v="Zaanse Snoepfabriek"/>
    <x v="1"/>
    <s v="France"/>
    <m/>
    <s v="Reims"/>
    <n v="12.75"/>
    <n v="8"/>
  </r>
  <r>
    <s v="1085"/>
    <x v="57"/>
    <x v="37"/>
    <x v="57"/>
    <s v="Janet Leverling"/>
    <s v="New England Seafood Cannery"/>
    <x v="1"/>
    <s v="France"/>
    <m/>
    <s v="Reims"/>
    <n v="9.65"/>
    <n v="20"/>
  </r>
  <r>
    <s v="1080"/>
    <x v="58"/>
    <x v="44"/>
    <x v="23"/>
    <s v="Michael Suyama"/>
    <s v="Specialty Biscuits, Ltd."/>
    <x v="0"/>
    <s v="Mexico"/>
    <m/>
    <s v="México D.F."/>
    <n v="7.3"/>
    <n v="12"/>
  </r>
  <r>
    <s v="1080"/>
    <x v="58"/>
    <x v="44"/>
    <x v="50"/>
    <s v="Michael Suyama"/>
    <s v="G'day, Mate"/>
    <x v="0"/>
    <s v="Mexico"/>
    <m/>
    <s v="México D.F."/>
    <n v="5.6"/>
    <n v="15"/>
  </r>
  <r>
    <s v="1080"/>
    <x v="58"/>
    <x v="44"/>
    <x v="60"/>
    <s v="Michael Suyama"/>
    <s v="Formaggi Fortini s.r.l."/>
    <x v="0"/>
    <s v="Mexico"/>
    <m/>
    <s v="México D.F."/>
    <n v="10"/>
    <n v="3"/>
  </r>
  <r>
    <s v="1080"/>
    <x v="58"/>
    <x v="188"/>
    <x v="23"/>
    <s v="Andrew Fuller"/>
    <s v="Specialty Biscuits, Ltd."/>
    <x v="1"/>
    <s v="Mexico"/>
    <m/>
    <s v="México D.F."/>
    <n v="9.1999999999999993"/>
    <n v="12"/>
  </r>
  <r>
    <s v="1080"/>
    <x v="58"/>
    <x v="338"/>
    <x v="20"/>
    <s v="Janet Leverling"/>
    <s v="Bigfoot Breweries"/>
    <x v="0"/>
    <s v="Mexico"/>
    <m/>
    <s v="México D.F."/>
    <n v="14"/>
    <n v="10"/>
  </r>
  <r>
    <s v="1080"/>
    <x v="58"/>
    <x v="339"/>
    <x v="23"/>
    <s v="Janet Leverling"/>
    <s v="Specialty Biscuits, Ltd."/>
    <x v="0"/>
    <s v="Mexico"/>
    <m/>
    <s v="México D.F."/>
    <n v="7.3"/>
    <n v="15"/>
  </r>
  <r>
    <s v="1080"/>
    <x v="58"/>
    <x v="339"/>
    <x v="20"/>
    <s v="Janet Leverling"/>
    <s v="Bigfoot Breweries"/>
    <x v="0"/>
    <s v="Mexico"/>
    <m/>
    <s v="México D.F."/>
    <n v="11.2"/>
    <n v="20"/>
  </r>
  <r>
    <s v="1080"/>
    <x v="58"/>
    <x v="339"/>
    <x v="53"/>
    <s v="Janet Leverling"/>
    <s v="Pasta Buttini s.r.l."/>
    <x v="0"/>
    <s v="Mexico"/>
    <m/>
    <s v="México D.F."/>
    <n v="15.6"/>
    <n v="15"/>
  </r>
  <r>
    <s v="1080"/>
    <x v="58"/>
    <x v="188"/>
    <x v="49"/>
    <s v="Andrew Fuller"/>
    <s v="Karkki Oy"/>
    <x v="1"/>
    <s v="Mexico"/>
    <m/>
    <s v="México D.F."/>
    <n v="20"/>
    <n v="40"/>
  </r>
  <r>
    <s v="1080"/>
    <x v="58"/>
    <x v="338"/>
    <x v="57"/>
    <s v="Janet Leverling"/>
    <s v="New England Seafood Cannery"/>
    <x v="0"/>
    <s v="Mexico"/>
    <m/>
    <s v="México D.F."/>
    <n v="9.65"/>
    <n v="14"/>
  </r>
  <r>
    <s v="1080"/>
    <x v="58"/>
    <x v="44"/>
    <x v="41"/>
    <s v="Michael Suyama"/>
    <s v="Refrescos Americanas LTDA"/>
    <x v="0"/>
    <s v="Mexico"/>
    <m/>
    <s v="México D.F."/>
    <n v="3.6"/>
    <n v="20"/>
  </r>
  <r>
    <s v="1080"/>
    <x v="58"/>
    <x v="340"/>
    <x v="34"/>
    <s v="Michael Suyama"/>
    <s v="G'day, Mate"/>
    <x v="0"/>
    <s v="Mexico"/>
    <m/>
    <s v="México D.F."/>
    <n v="42.4"/>
    <n v="40"/>
  </r>
  <r>
    <s v="1080"/>
    <x v="58"/>
    <x v="340"/>
    <x v="68"/>
    <s v="Michael Suyama"/>
    <s v="Mayumi's"/>
    <x v="0"/>
    <s v="Mexico"/>
    <m/>
    <s v="México D.F."/>
    <n v="18.600000000000001"/>
    <n v="9"/>
  </r>
  <r>
    <s v="1080"/>
    <x v="58"/>
    <x v="341"/>
    <x v="22"/>
    <s v="Margaret Peacock"/>
    <s v="Pasta Buttini s.r.l."/>
    <x v="0"/>
    <s v="Mexico"/>
    <m/>
    <s v="México D.F."/>
    <n v="38"/>
    <n v="28"/>
  </r>
  <r>
    <s v="1030"/>
    <x v="59"/>
    <x v="167"/>
    <x v="52"/>
    <s v="Laura Callahan"/>
    <s v="Heli Süßwaren GmbH &amp; Co. KG"/>
    <x v="1"/>
    <s v="Spain"/>
    <m/>
    <s v="Sevilla"/>
    <n v="14"/>
    <n v="5"/>
  </r>
  <r>
    <s v="1030"/>
    <x v="59"/>
    <x v="284"/>
    <x v="39"/>
    <s v="Laura Callahan"/>
    <s v="New Orleans Cajun Delights"/>
    <x v="0"/>
    <s v="Spain"/>
    <m/>
    <s v="Sevilla"/>
    <n v="16.8"/>
    <n v="5"/>
  </r>
  <r>
    <s v="1030"/>
    <x v="59"/>
    <x v="284"/>
    <x v="16"/>
    <s v="Laura Callahan"/>
    <s v="Plutzer Lebensmittelgroßmärkte AG"/>
    <x v="0"/>
    <s v="Spain"/>
    <m/>
    <s v="Sevilla"/>
    <n v="10.4"/>
    <n v="5"/>
  </r>
  <r>
    <s v="1030"/>
    <x v="59"/>
    <x v="149"/>
    <x v="40"/>
    <s v="Nancy Davolio"/>
    <s v="Karkki Oy"/>
    <x v="1"/>
    <s v="Spain"/>
    <m/>
    <s v="Sevilla"/>
    <n v="18"/>
    <n v="5"/>
  </r>
  <r>
    <s v="1030"/>
    <x v="59"/>
    <x v="149"/>
    <x v="72"/>
    <s v="Nancy Davolio"/>
    <s v="Zaanse Snoepfabriek"/>
    <x v="1"/>
    <s v="Spain"/>
    <m/>
    <s v="Sevilla"/>
    <n v="9.5"/>
    <n v="5"/>
  </r>
  <r>
    <s v="1030"/>
    <x v="59"/>
    <x v="342"/>
    <x v="43"/>
    <s v="Janet Leverling"/>
    <s v="Tokyo Traders"/>
    <x v="0"/>
    <s v="Spain"/>
    <m/>
    <s v="Sevilla"/>
    <n v="31"/>
    <n v="5"/>
  </r>
  <r>
    <s v="1030"/>
    <x v="59"/>
    <x v="217"/>
    <x v="22"/>
    <s v="Margaret Peacock"/>
    <s v="Pasta Buttini s.r.l."/>
    <x v="0"/>
    <s v="Spain"/>
    <m/>
    <s v="Sevilla"/>
    <n v="30.4"/>
    <n v="5"/>
  </r>
  <r>
    <s v="1030"/>
    <x v="59"/>
    <x v="217"/>
    <x v="62"/>
    <s v="Margaret Peacock"/>
    <s v="Plutzer Lebensmittelgroßmärkte AG"/>
    <x v="0"/>
    <s v="Spain"/>
    <m/>
    <s v="Sevilla"/>
    <n v="26.6"/>
    <n v="7"/>
  </r>
  <r>
    <s v="1069"/>
    <x v="60"/>
    <x v="194"/>
    <x v="50"/>
    <s v="Janet Leverling"/>
    <s v="G'day, Mate"/>
    <x v="1"/>
    <s v="Spain"/>
    <m/>
    <s v="Madrid"/>
    <n v="7"/>
    <n v="60"/>
  </r>
  <r>
    <s v="1069"/>
    <x v="60"/>
    <x v="235"/>
    <x v="25"/>
    <s v="Nancy Davolio"/>
    <s v="Escargots Nouveaux"/>
    <x v="0"/>
    <s v="Spain"/>
    <m/>
    <s v="Madrid"/>
    <n v="13.25"/>
    <n v="20"/>
  </r>
  <r>
    <s v="1069"/>
    <x v="60"/>
    <x v="235"/>
    <x v="34"/>
    <s v="Nancy Davolio"/>
    <s v="G'day, Mate"/>
    <x v="0"/>
    <s v="Spain"/>
    <m/>
    <s v="Madrid"/>
    <n v="53"/>
    <n v="6"/>
  </r>
  <r>
    <s v="1069"/>
    <x v="60"/>
    <x v="168"/>
    <x v="37"/>
    <s v="Robert King"/>
    <s v="Plutzer Lebensmittelgroßmärkte AG"/>
    <x v="0"/>
    <s v="Spain"/>
    <m/>
    <s v="Madrid"/>
    <n v="123.79"/>
    <n v="36"/>
  </r>
  <r>
    <s v="1069"/>
    <x v="60"/>
    <x v="235"/>
    <x v="60"/>
    <s v="Nancy Davolio"/>
    <s v="Formaggi Fortini s.r.l."/>
    <x v="0"/>
    <s v="Spain"/>
    <m/>
    <s v="Madrid"/>
    <n v="12.5"/>
    <n v="30"/>
  </r>
  <r>
    <s v="1069"/>
    <x v="60"/>
    <x v="295"/>
    <x v="33"/>
    <s v="Janet Leverling"/>
    <s v="Nord-Ost-Fisch Handelsgesellschaft mbH"/>
    <x v="1"/>
    <s v="Spain"/>
    <m/>
    <s v="Madrid"/>
    <n v="25.89"/>
    <n v="30"/>
  </r>
  <r>
    <s v="1069"/>
    <x v="60"/>
    <x v="89"/>
    <x v="10"/>
    <s v="Anne Dodsworth"/>
    <s v="Norske Meierier"/>
    <x v="1"/>
    <s v="Spain"/>
    <m/>
    <s v="Madrid"/>
    <n v="2.5"/>
    <n v="15"/>
  </r>
  <r>
    <s v="1069"/>
    <x v="60"/>
    <x v="89"/>
    <x v="57"/>
    <s v="Anne Dodsworth"/>
    <s v="New England Seafood Cannery"/>
    <x v="1"/>
    <s v="Spain"/>
    <m/>
    <s v="Madrid"/>
    <n v="9.65"/>
    <n v="6"/>
  </r>
  <r>
    <s v="1069"/>
    <x v="60"/>
    <x v="89"/>
    <x v="27"/>
    <s v="Anne Dodsworth"/>
    <s v="Plutzer Lebensmittelgroßmärkte AG"/>
    <x v="1"/>
    <s v="Spain"/>
    <m/>
    <s v="Madrid"/>
    <n v="7.75"/>
    <n v="50"/>
  </r>
  <r>
    <s v="1069"/>
    <x v="60"/>
    <x v="168"/>
    <x v="39"/>
    <s v="Robert King"/>
    <s v="New Orleans Cajun Delights"/>
    <x v="0"/>
    <s v="Spain"/>
    <m/>
    <s v="Madrid"/>
    <n v="21.05"/>
    <n v="10"/>
  </r>
  <r>
    <s v="1069"/>
    <x v="60"/>
    <x v="243"/>
    <x v="54"/>
    <s v="Margaret Peacock"/>
    <s v="Mayumi's"/>
    <x v="1"/>
    <s v="Spain"/>
    <m/>
    <s v="Madrid"/>
    <n v="6"/>
    <n v="42"/>
  </r>
  <r>
    <s v="1069"/>
    <x v="60"/>
    <x v="194"/>
    <x v="47"/>
    <s v="Janet Leverling"/>
    <s v="Pavlova, Ltd."/>
    <x v="1"/>
    <s v="Spain"/>
    <m/>
    <s v="Madrid"/>
    <n v="15"/>
    <n v="40"/>
  </r>
  <r>
    <s v="1069"/>
    <x v="60"/>
    <x v="343"/>
    <x v="35"/>
    <s v="Margaret Peacock"/>
    <s v="Gai pâturage"/>
    <x v="0"/>
    <s v="Spain"/>
    <m/>
    <s v="Madrid"/>
    <n v="27.2"/>
    <n v="60"/>
  </r>
  <r>
    <s v="1069"/>
    <x v="60"/>
    <x v="8"/>
    <x v="6"/>
    <s v="Robert King"/>
    <s v="G'day, Mate"/>
    <x v="1"/>
    <s v="Spain"/>
    <m/>
    <s v="Madrid"/>
    <n v="32.799999999999997"/>
    <n v="70"/>
  </r>
  <r>
    <s v="1069"/>
    <x v="60"/>
    <x v="235"/>
    <x v="24"/>
    <s v="Nancy Davolio"/>
    <s v="Svensk Sjöföda AB"/>
    <x v="0"/>
    <s v="Spain"/>
    <m/>
    <s v="Madrid"/>
    <n v="15"/>
    <n v="9"/>
  </r>
  <r>
    <s v="1069"/>
    <x v="60"/>
    <x v="343"/>
    <x v="12"/>
    <s v="Margaret Peacock"/>
    <s v="Norske Meierier"/>
    <x v="0"/>
    <s v="Spain"/>
    <m/>
    <s v="Madrid"/>
    <n v="28.8"/>
    <n v="20"/>
  </r>
  <r>
    <s v="1069"/>
    <x v="60"/>
    <x v="295"/>
    <x v="24"/>
    <s v="Janet Leverling"/>
    <s v="Svensk Sjöföda AB"/>
    <x v="1"/>
    <s v="Spain"/>
    <m/>
    <s v="Madrid"/>
    <n v="15"/>
    <n v="15"/>
  </r>
  <r>
    <s v="1069"/>
    <x v="60"/>
    <x v="235"/>
    <x v="30"/>
    <s v="Nancy Davolio"/>
    <s v="Formaggi Fortini s.r.l."/>
    <x v="0"/>
    <s v="Spain"/>
    <m/>
    <s v="Madrid"/>
    <n v="34.799999999999997"/>
    <n v="21"/>
  </r>
  <r>
    <s v="1069"/>
    <x v="60"/>
    <x v="194"/>
    <x v="5"/>
    <s v="Janet Leverling"/>
    <s v="Heli Süßwaren GmbH &amp; Co. KG"/>
    <x v="1"/>
    <s v="Spain"/>
    <m/>
    <s v="Madrid"/>
    <n v="31.23"/>
    <n v="20"/>
  </r>
  <r>
    <s v="1069"/>
    <x v="60"/>
    <x v="249"/>
    <x v="19"/>
    <s v="Anne Dodsworth"/>
    <s v="Svensk Sjöföda AB"/>
    <x v="0"/>
    <s v="Spain"/>
    <m/>
    <s v="Madrid"/>
    <n v="15.2"/>
    <n v="25"/>
  </r>
  <r>
    <s v="1069"/>
    <x v="60"/>
    <x v="249"/>
    <x v="1"/>
    <s v="Anne Dodsworth"/>
    <s v="Pavlova, Ltd."/>
    <x v="0"/>
    <s v="Spain"/>
    <m/>
    <s v="Madrid"/>
    <n v="13.9"/>
    <n v="35"/>
  </r>
  <r>
    <s v="1069"/>
    <x v="60"/>
    <x v="249"/>
    <x v="8"/>
    <s v="Anne Dodsworth"/>
    <s v="Exotic Liquids"/>
    <x v="0"/>
    <s v="Spain"/>
    <m/>
    <s v="Madrid"/>
    <n v="15.2"/>
    <n v="20"/>
  </r>
  <r>
    <s v="1069"/>
    <x v="60"/>
    <x v="295"/>
    <x v="5"/>
    <s v="Janet Leverling"/>
    <s v="Heli Süßwaren GmbH &amp; Co. KG"/>
    <x v="1"/>
    <s v="Spain"/>
    <m/>
    <s v="Madrid"/>
    <n v="31.23"/>
    <n v="12"/>
  </r>
  <r>
    <s v="1069"/>
    <x v="60"/>
    <x v="243"/>
    <x v="53"/>
    <s v="Margaret Peacock"/>
    <s v="Pasta Buttini s.r.l."/>
    <x v="1"/>
    <s v="Spain"/>
    <m/>
    <s v="Madrid"/>
    <n v="19.5"/>
    <n v="30"/>
  </r>
  <r>
    <s v="1069"/>
    <x v="60"/>
    <x v="295"/>
    <x v="71"/>
    <s v="Janet Leverling"/>
    <s v="Karkki Oy"/>
    <x v="1"/>
    <s v="Spain"/>
    <m/>
    <s v="Madrid"/>
    <n v="16.25"/>
    <n v="20"/>
  </r>
  <r>
    <s v="1069"/>
    <x v="60"/>
    <x v="249"/>
    <x v="17"/>
    <s v="Anne Dodsworth"/>
    <s v="Gai pâturage"/>
    <x v="0"/>
    <s v="Spain"/>
    <m/>
    <s v="Madrid"/>
    <n v="44"/>
    <n v="30"/>
  </r>
  <r>
    <s v="1069"/>
    <x v="60"/>
    <x v="61"/>
    <x v="26"/>
    <s v="Laura Callahan"/>
    <s v="Lyngbysild"/>
    <x v="1"/>
    <s v="Spain"/>
    <m/>
    <s v="Madrid"/>
    <n v="12"/>
    <n v="30"/>
  </r>
  <r>
    <s v="1069"/>
    <x v="60"/>
    <x v="61"/>
    <x v="8"/>
    <s v="Laura Callahan"/>
    <s v="Exotic Liquids"/>
    <x v="1"/>
    <s v="Spain"/>
    <m/>
    <s v="Madrid"/>
    <n v="19"/>
    <n v="10"/>
  </r>
  <r>
    <s v="1069"/>
    <x v="60"/>
    <x v="61"/>
    <x v="40"/>
    <s v="Laura Callahan"/>
    <s v="Karkki Oy"/>
    <x v="1"/>
    <s v="Spain"/>
    <m/>
    <s v="Madrid"/>
    <n v="18"/>
    <n v="2"/>
  </r>
  <r>
    <s v="1069"/>
    <x v="60"/>
    <x v="8"/>
    <x v="12"/>
    <s v="Robert King"/>
    <s v="Norske Meierier"/>
    <x v="1"/>
    <s v="Spain"/>
    <m/>
    <s v="Madrid"/>
    <n v="36"/>
    <n v="36"/>
  </r>
  <r>
    <s v="1025"/>
    <x v="61"/>
    <x v="74"/>
    <x v="22"/>
    <s v="Janet Leverling"/>
    <s v="Pasta Buttini s.r.l."/>
    <x v="1"/>
    <s v="Germany"/>
    <m/>
    <s v="München"/>
    <n v="38"/>
    <n v="60"/>
  </r>
  <r>
    <s v="1025"/>
    <x v="61"/>
    <x v="344"/>
    <x v="8"/>
    <s v="Michael Suyama"/>
    <s v="Exotic Liquids"/>
    <x v="0"/>
    <s v="Germany"/>
    <m/>
    <s v="München"/>
    <n v="15.2"/>
    <n v="35"/>
  </r>
  <r>
    <s v="1025"/>
    <x v="61"/>
    <x v="96"/>
    <x v="57"/>
    <s v="Laura Callahan"/>
    <s v="New England Seafood Cannery"/>
    <x v="1"/>
    <s v="Germany"/>
    <m/>
    <s v="München"/>
    <n v="9.65"/>
    <n v="12"/>
  </r>
  <r>
    <s v="1025"/>
    <x v="61"/>
    <x v="311"/>
    <x v="8"/>
    <s v="Andrew Fuller"/>
    <s v="Exotic Liquids"/>
    <x v="0"/>
    <s v="Germany"/>
    <m/>
    <s v="München"/>
    <n v="15.2"/>
    <n v="25"/>
  </r>
  <r>
    <s v="1025"/>
    <x v="61"/>
    <x v="311"/>
    <x v="56"/>
    <s v="Andrew Fuller"/>
    <s v="Las Cabras"/>
    <x v="0"/>
    <s v="Germany"/>
    <m/>
    <s v="München"/>
    <n v="16.8"/>
    <n v="50"/>
  </r>
  <r>
    <s v="1025"/>
    <x v="61"/>
    <x v="311"/>
    <x v="33"/>
    <s v="Andrew Fuller"/>
    <s v="Nord-Ost-Fisch Handelsgesellschaft mbH"/>
    <x v="0"/>
    <s v="Germany"/>
    <m/>
    <s v="München"/>
    <n v="20.7"/>
    <n v="35"/>
  </r>
  <r>
    <s v="1025"/>
    <x v="61"/>
    <x v="115"/>
    <x v="47"/>
    <s v="Robert King"/>
    <s v="Pavlova, Ltd."/>
    <x v="1"/>
    <s v="Germany"/>
    <m/>
    <s v="München"/>
    <n v="15"/>
    <n v="50"/>
  </r>
  <r>
    <s v="1025"/>
    <x v="61"/>
    <x v="230"/>
    <x v="30"/>
    <s v="Laura Callahan"/>
    <s v="Formaggi Fortini s.r.l."/>
    <x v="0"/>
    <s v="Germany"/>
    <m/>
    <s v="München"/>
    <n v="34.799999999999997"/>
    <n v="24"/>
  </r>
  <r>
    <s v="1025"/>
    <x v="61"/>
    <x v="311"/>
    <x v="25"/>
    <s v="Andrew Fuller"/>
    <s v="Escargots Nouveaux"/>
    <x v="0"/>
    <s v="Germany"/>
    <m/>
    <s v="München"/>
    <n v="10.6"/>
    <n v="30"/>
  </r>
  <r>
    <s v="1025"/>
    <x v="61"/>
    <x v="180"/>
    <x v="27"/>
    <s v="Laura Callahan"/>
    <s v="Plutzer Lebensmittelgroßmärkte AG"/>
    <x v="1"/>
    <s v="Germany"/>
    <m/>
    <s v="München"/>
    <n v="7.75"/>
    <n v="12"/>
  </r>
  <r>
    <s v="1025"/>
    <x v="61"/>
    <x v="74"/>
    <x v="44"/>
    <s v="Janet Leverling"/>
    <s v="Aux joyeux ecclésiastiques"/>
    <x v="1"/>
    <s v="Germany"/>
    <m/>
    <s v="München"/>
    <n v="18"/>
    <n v="16"/>
  </r>
  <r>
    <s v="1025"/>
    <x v="61"/>
    <x v="321"/>
    <x v="29"/>
    <s v="Andrew Fuller"/>
    <s v="Leka Trading"/>
    <x v="0"/>
    <s v="Germany"/>
    <m/>
    <s v="München"/>
    <n v="19.45"/>
    <n v="10"/>
  </r>
  <r>
    <s v="1025"/>
    <x v="61"/>
    <x v="74"/>
    <x v="34"/>
    <s v="Janet Leverling"/>
    <s v="G'day, Mate"/>
    <x v="1"/>
    <s v="Germany"/>
    <m/>
    <s v="München"/>
    <n v="53"/>
    <n v="28"/>
  </r>
  <r>
    <s v="1025"/>
    <x v="61"/>
    <x v="83"/>
    <x v="24"/>
    <s v="Michael Suyama"/>
    <s v="Svensk Sjöföda AB"/>
    <x v="0"/>
    <s v="Germany"/>
    <m/>
    <s v="München"/>
    <n v="15"/>
    <n v="35"/>
  </r>
  <r>
    <s v="1025"/>
    <x v="61"/>
    <x v="83"/>
    <x v="17"/>
    <s v="Michael Suyama"/>
    <s v="Gai pâturage"/>
    <x v="0"/>
    <s v="Germany"/>
    <m/>
    <s v="München"/>
    <n v="55"/>
    <n v="35"/>
  </r>
  <r>
    <s v="1025"/>
    <x v="61"/>
    <x v="83"/>
    <x v="8"/>
    <s v="Michael Suyama"/>
    <s v="Exotic Liquids"/>
    <x v="0"/>
    <s v="Germany"/>
    <m/>
    <s v="München"/>
    <n v="19"/>
    <n v="5"/>
  </r>
  <r>
    <s v="1025"/>
    <x v="61"/>
    <x v="29"/>
    <x v="67"/>
    <s v="Margaret Peacock"/>
    <s v="New Orleans Cajun Delights"/>
    <x v="1"/>
    <s v="Germany"/>
    <m/>
    <s v="München"/>
    <n v="17"/>
    <n v="50"/>
  </r>
  <r>
    <s v="1025"/>
    <x v="61"/>
    <x v="29"/>
    <x v="60"/>
    <s v="Margaret Peacock"/>
    <s v="Formaggi Fortini s.r.l."/>
    <x v="1"/>
    <s v="Germany"/>
    <m/>
    <s v="München"/>
    <n v="12.5"/>
    <n v="2"/>
  </r>
  <r>
    <s v="1025"/>
    <x v="61"/>
    <x v="321"/>
    <x v="34"/>
    <s v="Andrew Fuller"/>
    <s v="G'day, Mate"/>
    <x v="0"/>
    <s v="Germany"/>
    <m/>
    <s v="München"/>
    <n v="53"/>
    <n v="50"/>
  </r>
  <r>
    <s v="1025"/>
    <x v="61"/>
    <x v="170"/>
    <x v="27"/>
    <s v="Margaret Peacock"/>
    <s v="Plutzer Lebensmittelgroßmärkte AG"/>
    <x v="1"/>
    <s v="Germany"/>
    <m/>
    <s v="München"/>
    <n v="7.75"/>
    <n v="40"/>
  </r>
  <r>
    <s v="1025"/>
    <x v="61"/>
    <x v="115"/>
    <x v="55"/>
    <s v="Robert King"/>
    <s v="PB Knäckebröd AB"/>
    <x v="1"/>
    <s v="Germany"/>
    <m/>
    <s v="München"/>
    <n v="9"/>
    <n v="30"/>
  </r>
  <r>
    <s v="1025"/>
    <x v="61"/>
    <x v="96"/>
    <x v="47"/>
    <s v="Laura Callahan"/>
    <s v="Pavlova, Ltd."/>
    <x v="1"/>
    <s v="Germany"/>
    <m/>
    <s v="München"/>
    <n v="15"/>
    <n v="9"/>
  </r>
  <r>
    <s v="1025"/>
    <x v="61"/>
    <x v="74"/>
    <x v="72"/>
    <s v="Janet Leverling"/>
    <s v="Zaanse Snoepfabriek"/>
    <x v="1"/>
    <s v="Germany"/>
    <m/>
    <s v="München"/>
    <n v="9.5"/>
    <n v="30"/>
  </r>
  <r>
    <s v="1025"/>
    <x v="61"/>
    <x v="230"/>
    <x v="24"/>
    <s v="Laura Callahan"/>
    <s v="Svensk Sjöföda AB"/>
    <x v="0"/>
    <s v="Germany"/>
    <m/>
    <s v="München"/>
    <n v="15"/>
    <n v="24"/>
  </r>
  <r>
    <s v="1025"/>
    <x v="61"/>
    <x v="115"/>
    <x v="4"/>
    <s v="Robert King"/>
    <s v="Forêts d'érables"/>
    <x v="1"/>
    <s v="Germany"/>
    <m/>
    <s v="München"/>
    <n v="28.5"/>
    <n v="30"/>
  </r>
  <r>
    <s v="1025"/>
    <x v="61"/>
    <x v="63"/>
    <x v="26"/>
    <s v="Andrew Fuller"/>
    <s v="Lyngbysild"/>
    <x v="1"/>
    <s v="Germany"/>
    <m/>
    <s v="München"/>
    <n v="12"/>
    <n v="25"/>
  </r>
  <r>
    <s v="1025"/>
    <x v="61"/>
    <x v="63"/>
    <x v="63"/>
    <s v="Andrew Fuller"/>
    <s v="Ma Maison"/>
    <x v="1"/>
    <s v="Germany"/>
    <m/>
    <s v="München"/>
    <n v="24"/>
    <n v="6"/>
  </r>
  <r>
    <s v="1025"/>
    <x v="61"/>
    <x v="177"/>
    <x v="28"/>
    <s v="Laura Callahan"/>
    <s v="Pavlova, Ltd."/>
    <x v="1"/>
    <s v="Germany"/>
    <m/>
    <s v="München"/>
    <n v="43.9"/>
    <n v="20"/>
  </r>
  <r>
    <s v="1025"/>
    <x v="61"/>
    <x v="98"/>
    <x v="32"/>
    <s v="Laura Callahan"/>
    <s v="Specialty Biscuits, Ltd."/>
    <x v="0"/>
    <s v="Germany"/>
    <m/>
    <s v="München"/>
    <n v="10"/>
    <n v="21"/>
  </r>
  <r>
    <s v="1025"/>
    <x v="61"/>
    <x v="177"/>
    <x v="34"/>
    <s v="Laura Callahan"/>
    <s v="G'day, Mate"/>
    <x v="1"/>
    <s v="Germany"/>
    <m/>
    <s v="München"/>
    <n v="53"/>
    <n v="10"/>
  </r>
  <r>
    <s v="1025"/>
    <x v="61"/>
    <x v="177"/>
    <x v="72"/>
    <s v="Laura Callahan"/>
    <s v="Zaanse Snoepfabriek"/>
    <x v="1"/>
    <s v="Germany"/>
    <m/>
    <s v="München"/>
    <n v="9.5"/>
    <n v="30"/>
  </r>
  <r>
    <s v="1025"/>
    <x v="61"/>
    <x v="177"/>
    <x v="44"/>
    <s v="Laura Callahan"/>
    <s v="Aux joyeux ecclésiastiques"/>
    <x v="1"/>
    <s v="Germany"/>
    <m/>
    <s v="München"/>
    <n v="18"/>
    <n v="30"/>
  </r>
  <r>
    <s v="1025"/>
    <x v="61"/>
    <x v="63"/>
    <x v="48"/>
    <s v="Andrew Fuller"/>
    <s v="PB Knäckebröd AB"/>
    <x v="1"/>
    <s v="Germany"/>
    <m/>
    <s v="München"/>
    <n v="21"/>
    <n v="25"/>
  </r>
  <r>
    <s v="1025"/>
    <x v="61"/>
    <x v="230"/>
    <x v="3"/>
    <s v="Laura Callahan"/>
    <s v="New Orleans Cajun Delights"/>
    <x v="0"/>
    <s v="Germany"/>
    <m/>
    <s v="München"/>
    <n v="22"/>
    <n v="50"/>
  </r>
  <r>
    <s v="1025"/>
    <x v="61"/>
    <x v="98"/>
    <x v="27"/>
    <s v="Laura Callahan"/>
    <s v="Plutzer Lebensmittelgroßmärkte AG"/>
    <x v="0"/>
    <s v="Germany"/>
    <m/>
    <s v="München"/>
    <n v="6.2"/>
    <n v="4"/>
  </r>
  <r>
    <s v="1025"/>
    <x v="61"/>
    <x v="63"/>
    <x v="36"/>
    <s v="Andrew Fuller"/>
    <s v="Grandma Kelly's Homestead"/>
    <x v="1"/>
    <s v="Germany"/>
    <m/>
    <s v="München"/>
    <n v="30"/>
    <n v="60"/>
  </r>
  <r>
    <s v="1025"/>
    <x v="61"/>
    <x v="344"/>
    <x v="57"/>
    <s v="Michael Suyama"/>
    <s v="New England Seafood Cannery"/>
    <x v="0"/>
    <s v="Germany"/>
    <m/>
    <s v="München"/>
    <n v="7.7"/>
    <n v="25"/>
  </r>
  <r>
    <s v="1025"/>
    <x v="61"/>
    <x v="263"/>
    <x v="57"/>
    <s v="Robert King"/>
    <s v="New England Seafood Cannery"/>
    <x v="1"/>
    <s v="Germany"/>
    <m/>
    <s v="München"/>
    <n v="9.65"/>
    <n v="35"/>
  </r>
  <r>
    <s v="1025"/>
    <x v="61"/>
    <x v="154"/>
    <x v="9"/>
    <s v="Nancy Davolio"/>
    <s v="Forêts d'érables"/>
    <x v="1"/>
    <s v="Germany"/>
    <m/>
    <s v="München"/>
    <n v="49.3"/>
    <n v="6"/>
  </r>
  <r>
    <s v="1025"/>
    <x v="61"/>
    <x v="32"/>
    <x v="40"/>
    <s v="Janet Leverling"/>
    <s v="Karkki Oy"/>
    <x v="0"/>
    <s v="Germany"/>
    <m/>
    <s v="München"/>
    <n v="14.4"/>
    <n v="18"/>
  </r>
  <r>
    <s v="1025"/>
    <x v="61"/>
    <x v="164"/>
    <x v="40"/>
    <s v="Laura Callahan"/>
    <s v="Karkki Oy"/>
    <x v="1"/>
    <s v="Germany"/>
    <m/>
    <s v="München"/>
    <n v="18"/>
    <n v="50"/>
  </r>
  <r>
    <s v="1025"/>
    <x v="61"/>
    <x v="213"/>
    <x v="51"/>
    <s v="Steven Buchanan"/>
    <s v="Norske Meierier"/>
    <x v="0"/>
    <s v="Germany"/>
    <m/>
    <s v="München"/>
    <n v="17.2"/>
    <n v="6"/>
  </r>
  <r>
    <s v="1025"/>
    <x v="61"/>
    <x v="154"/>
    <x v="63"/>
    <s v="Nancy Davolio"/>
    <s v="Ma Maison"/>
    <x v="1"/>
    <s v="Germany"/>
    <m/>
    <s v="München"/>
    <n v="24"/>
    <n v="30"/>
  </r>
  <r>
    <s v="1025"/>
    <x v="61"/>
    <x v="263"/>
    <x v="37"/>
    <s v="Robert King"/>
    <s v="Plutzer Lebensmittelgroßmärkte AG"/>
    <x v="1"/>
    <s v="Germany"/>
    <m/>
    <s v="München"/>
    <n v="123.79"/>
    <n v="50"/>
  </r>
  <r>
    <s v="1025"/>
    <x v="61"/>
    <x v="32"/>
    <x v="56"/>
    <s v="Janet Leverling"/>
    <s v="Las Cabras"/>
    <x v="0"/>
    <s v="Germany"/>
    <m/>
    <s v="München"/>
    <n v="16.8"/>
    <n v="6"/>
  </r>
  <r>
    <s v="1038"/>
    <x v="62"/>
    <x v="140"/>
    <x v="6"/>
    <s v="Janet Leverling"/>
    <s v="G'day, Mate"/>
    <x v="0"/>
    <s v="UK"/>
    <s v="Isle of Wight"/>
    <s v="Cowes"/>
    <n v="32.799999999999997"/>
    <n v="3"/>
  </r>
  <r>
    <s v="1038"/>
    <x v="62"/>
    <x v="345"/>
    <x v="28"/>
    <s v="Janet Leverling"/>
    <s v="Pavlova, Ltd."/>
    <x v="0"/>
    <s v="UK"/>
    <s v="Isle of Wight"/>
    <s v="Cowes"/>
    <n v="35.1"/>
    <n v="35"/>
  </r>
  <r>
    <s v="1038"/>
    <x v="62"/>
    <x v="47"/>
    <x v="33"/>
    <s v="Laura Callahan"/>
    <s v="Nord-Ost-Fisch Handelsgesellschaft mbH"/>
    <x v="0"/>
    <s v="UK"/>
    <s v="Isle of Wight"/>
    <s v="Cowes"/>
    <n v="20.7"/>
    <n v="18"/>
  </r>
  <r>
    <s v="1038"/>
    <x v="62"/>
    <x v="112"/>
    <x v="51"/>
    <s v="Margaret Peacock"/>
    <s v="Norske Meierier"/>
    <x v="0"/>
    <s v="UK"/>
    <s v="Isle of Wight"/>
    <s v="Cowes"/>
    <n v="17.2"/>
    <n v="50"/>
  </r>
  <r>
    <s v="1038"/>
    <x v="62"/>
    <x v="346"/>
    <x v="1"/>
    <s v="Andrew Fuller"/>
    <s v="Pavlova, Ltd."/>
    <x v="1"/>
    <s v="UK"/>
    <s v="Isle of Wight"/>
    <s v="Cowes"/>
    <n v="17.45"/>
    <n v="36"/>
  </r>
  <r>
    <s v="1038"/>
    <x v="62"/>
    <x v="54"/>
    <x v="37"/>
    <s v="Anne Dodsworth"/>
    <s v="Plutzer Lebensmittelgroßmärkte AG"/>
    <x v="0"/>
    <s v="UK"/>
    <s v="Isle of Wight"/>
    <s v="Cowes"/>
    <n v="123.79"/>
    <n v="10"/>
  </r>
  <r>
    <s v="1038"/>
    <x v="62"/>
    <x v="57"/>
    <x v="27"/>
    <s v="Anne Dodsworth"/>
    <s v="Plutzer Lebensmittelgroßmärkte AG"/>
    <x v="0"/>
    <s v="UK"/>
    <s v="Isle of Wight"/>
    <s v="Cowes"/>
    <n v="7.75"/>
    <n v="20"/>
  </r>
  <r>
    <s v="1038"/>
    <x v="62"/>
    <x v="47"/>
    <x v="35"/>
    <s v="Laura Callahan"/>
    <s v="Gai pâturage"/>
    <x v="0"/>
    <s v="UK"/>
    <s v="Isle of Wight"/>
    <s v="Cowes"/>
    <n v="27.2"/>
    <n v="6"/>
  </r>
  <r>
    <s v="1038"/>
    <x v="62"/>
    <x v="47"/>
    <x v="6"/>
    <s v="Laura Callahan"/>
    <s v="G'day, Mate"/>
    <x v="0"/>
    <s v="UK"/>
    <s v="Isle of Wight"/>
    <s v="Cowes"/>
    <n v="26.2"/>
    <n v="20"/>
  </r>
  <r>
    <s v="1038"/>
    <x v="62"/>
    <x v="47"/>
    <x v="47"/>
    <s v="Laura Callahan"/>
    <s v="Pavlova, Ltd."/>
    <x v="0"/>
    <s v="UK"/>
    <s v="Isle of Wight"/>
    <s v="Cowes"/>
    <n v="12"/>
    <n v="30"/>
  </r>
  <r>
    <s v="1038"/>
    <x v="62"/>
    <x v="346"/>
    <x v="11"/>
    <s v="Andrew Fuller"/>
    <s v="Pavlova, Ltd."/>
    <x v="1"/>
    <s v="UK"/>
    <s v="Isle of Wight"/>
    <s v="Cowes"/>
    <n v="62.5"/>
    <n v="8"/>
  </r>
  <r>
    <s v="1038"/>
    <x v="62"/>
    <x v="346"/>
    <x v="61"/>
    <s v="Andrew Fuller"/>
    <s v="Formaggi Fortini s.r.l."/>
    <x v="1"/>
    <s v="UK"/>
    <s v="Isle of Wight"/>
    <s v="Cowes"/>
    <n v="32"/>
    <n v="35"/>
  </r>
  <r>
    <s v="1038"/>
    <x v="62"/>
    <x v="112"/>
    <x v="8"/>
    <s v="Michael Suyama"/>
    <s v="Exotic Liquids"/>
    <x v="0"/>
    <s v="UK"/>
    <s v="Isle of Wight"/>
    <s v="Cowes"/>
    <n v="15.2"/>
    <n v="40"/>
  </r>
  <r>
    <s v="1038"/>
    <x v="62"/>
    <x v="57"/>
    <x v="39"/>
    <s v="Anne Dodsworth"/>
    <s v="New Orleans Cajun Delights"/>
    <x v="0"/>
    <s v="UK"/>
    <s v="Isle of Wight"/>
    <s v="Cowes"/>
    <n v="21.05"/>
    <n v="40"/>
  </r>
  <r>
    <s v="1038"/>
    <x v="62"/>
    <x v="54"/>
    <x v="14"/>
    <s v="Anne Dodsworth"/>
    <s v="Tokyo Traders"/>
    <x v="0"/>
    <s v="UK"/>
    <s v="Isle of Wight"/>
    <s v="Cowes"/>
    <n v="97"/>
    <n v="50"/>
  </r>
  <r>
    <s v="1038"/>
    <x v="62"/>
    <x v="112"/>
    <x v="9"/>
    <s v="Michael Suyama"/>
    <s v="Forêts d'érables"/>
    <x v="0"/>
    <s v="UK"/>
    <s v="Isle of Wight"/>
    <s v="Cowes"/>
    <n v="39.4"/>
    <n v="15"/>
  </r>
  <r>
    <s v="1038"/>
    <x v="62"/>
    <x v="112"/>
    <x v="17"/>
    <s v="Michael Suyama"/>
    <s v="Gai pâturage"/>
    <x v="0"/>
    <s v="UK"/>
    <s v="Isle of Wight"/>
    <s v="Cowes"/>
    <n v="44"/>
    <n v="30"/>
  </r>
  <r>
    <s v="1038"/>
    <x v="62"/>
    <x v="112"/>
    <x v="25"/>
    <s v="Margaret Peacock"/>
    <s v="Escargots Nouveaux"/>
    <x v="0"/>
    <s v="UK"/>
    <s v="Isle of Wight"/>
    <s v="Cowes"/>
    <n v="10.6"/>
    <n v="80"/>
  </r>
  <r>
    <s v="1038"/>
    <x v="62"/>
    <x v="112"/>
    <x v="19"/>
    <s v="Michael Suyama"/>
    <s v="Svensk Sjöföda AB"/>
    <x v="0"/>
    <s v="UK"/>
    <s v="Isle of Wight"/>
    <s v="Cowes"/>
    <n v="15.2"/>
    <n v="40"/>
  </r>
  <r>
    <s v="1038"/>
    <x v="62"/>
    <x v="54"/>
    <x v="19"/>
    <s v="Anne Dodsworth"/>
    <s v="Svensk Sjöföda AB"/>
    <x v="0"/>
    <s v="UK"/>
    <s v="Isle of Wight"/>
    <s v="Cowes"/>
    <n v="19"/>
    <n v="6"/>
  </r>
  <r>
    <s v="1038"/>
    <x v="62"/>
    <x v="140"/>
    <x v="22"/>
    <s v="Janet Leverling"/>
    <s v="Pasta Buttini s.r.l."/>
    <x v="0"/>
    <s v="UK"/>
    <s v="Isle of Wight"/>
    <s v="Cowes"/>
    <n v="38"/>
    <n v="30"/>
  </r>
  <r>
    <s v="1038"/>
    <x v="62"/>
    <x v="125"/>
    <x v="57"/>
    <s v="Janet Leverling"/>
    <s v="New England Seafood Cannery"/>
    <x v="1"/>
    <s v="UK"/>
    <s v="Isle of Wight"/>
    <s v="Cowes"/>
    <n v="9.65"/>
    <n v="30"/>
  </r>
  <r>
    <s v="1038"/>
    <x v="62"/>
    <x v="53"/>
    <x v="38"/>
    <s v="Janet Leverling"/>
    <s v="Leka Trading"/>
    <x v="0"/>
    <s v="UK"/>
    <s v="Isle of Wight"/>
    <s v="Cowes"/>
    <n v="36.799999999999997"/>
    <n v="20"/>
  </r>
  <r>
    <s v="1038"/>
    <x v="62"/>
    <x v="212"/>
    <x v="51"/>
    <s v="Anne Dodsworth"/>
    <s v="Norske Meierier"/>
    <x v="0"/>
    <s v="UK"/>
    <s v="Isle of Wight"/>
    <s v="Cowes"/>
    <n v="21.5"/>
    <n v="30"/>
  </r>
  <r>
    <s v="1038"/>
    <x v="62"/>
    <x v="53"/>
    <x v="51"/>
    <s v="Janet Leverling"/>
    <s v="Norske Meierier"/>
    <x v="0"/>
    <s v="UK"/>
    <s v="Isle of Wight"/>
    <s v="Cowes"/>
    <n v="17.2"/>
    <n v="3"/>
  </r>
  <r>
    <s v="1038"/>
    <x v="62"/>
    <x v="109"/>
    <x v="37"/>
    <s v="Andrew Fuller"/>
    <s v="Plutzer Lebensmittelgroßmärkte AG"/>
    <x v="1"/>
    <s v="UK"/>
    <s v="Isle of Wight"/>
    <s v="Cowes"/>
    <n v="123.79"/>
    <n v="60"/>
  </r>
  <r>
    <s v="1038"/>
    <x v="62"/>
    <x v="212"/>
    <x v="46"/>
    <s v="Anne Dodsworth"/>
    <s v="Exotic Liquids"/>
    <x v="0"/>
    <s v="UK"/>
    <s v="Isle of Wight"/>
    <s v="Cowes"/>
    <n v="18"/>
    <n v="15"/>
  </r>
  <r>
    <s v="1038"/>
    <x v="62"/>
    <x v="121"/>
    <x v="34"/>
    <s v="Nancy Davolio"/>
    <s v="G'day, Mate"/>
    <x v="0"/>
    <s v="UK"/>
    <s v="Isle of Wight"/>
    <s v="Cowes"/>
    <n v="53"/>
    <n v="3"/>
  </r>
  <r>
    <s v="1038"/>
    <x v="62"/>
    <x v="347"/>
    <x v="45"/>
    <s v="Andrew Fuller"/>
    <s v="Leka Trading"/>
    <x v="0"/>
    <s v="UK"/>
    <s v="Isle of Wight"/>
    <s v="Cowes"/>
    <n v="14"/>
    <n v="20"/>
  </r>
  <r>
    <s v="1038"/>
    <x v="62"/>
    <x v="168"/>
    <x v="25"/>
    <s v="Robert King"/>
    <s v="Escargots Nouveaux"/>
    <x v="0"/>
    <s v="UK"/>
    <s v="Isle of Wight"/>
    <s v="Cowes"/>
    <n v="13.25"/>
    <n v="49"/>
  </r>
  <r>
    <s v="1038"/>
    <x v="62"/>
    <x v="6"/>
    <x v="40"/>
    <s v="Michael Suyama"/>
    <s v="Karkki Oy"/>
    <x v="0"/>
    <s v="UK"/>
    <s v="Isle of Wight"/>
    <s v="Cowes"/>
    <n v="18"/>
    <n v="35"/>
  </r>
  <r>
    <s v="1038"/>
    <x v="62"/>
    <x v="125"/>
    <x v="20"/>
    <s v="Janet Leverling"/>
    <s v="Bigfoot Breweries"/>
    <x v="1"/>
    <s v="UK"/>
    <s v="Isle of Wight"/>
    <s v="Cowes"/>
    <n v="14"/>
    <n v="30"/>
  </r>
  <r>
    <s v="1038"/>
    <x v="62"/>
    <x v="212"/>
    <x v="16"/>
    <s v="Anne Dodsworth"/>
    <s v="Plutzer Lebensmittelgroßmärkte AG"/>
    <x v="0"/>
    <s v="UK"/>
    <s v="Isle of Wight"/>
    <s v="Cowes"/>
    <n v="13"/>
    <n v="35"/>
  </r>
  <r>
    <s v="1038"/>
    <x v="62"/>
    <x v="347"/>
    <x v="57"/>
    <s v="Andrew Fuller"/>
    <s v="New England Seafood Cannery"/>
    <x v="0"/>
    <s v="UK"/>
    <s v="Isle of Wight"/>
    <s v="Cowes"/>
    <n v="9.65"/>
    <n v="80"/>
  </r>
  <r>
    <s v="1038"/>
    <x v="62"/>
    <x v="212"/>
    <x v="43"/>
    <s v="Anne Dodsworth"/>
    <s v="Tokyo Traders"/>
    <x v="0"/>
    <s v="UK"/>
    <s v="Isle of Wight"/>
    <s v="Cowes"/>
    <n v="31"/>
    <n v="18"/>
  </r>
  <r>
    <s v="1038"/>
    <x v="62"/>
    <x v="6"/>
    <x v="51"/>
    <s v="Michael Suyama"/>
    <s v="Norske Meierier"/>
    <x v="0"/>
    <s v="UK"/>
    <s v="Isle of Wight"/>
    <s v="Cowes"/>
    <n v="21.5"/>
    <n v="20"/>
  </r>
  <r>
    <s v="1038"/>
    <x v="62"/>
    <x v="6"/>
    <x v="17"/>
    <s v="Michael Suyama"/>
    <s v="Gai pâturage"/>
    <x v="0"/>
    <s v="UK"/>
    <s v="Isle of Wight"/>
    <s v="Cowes"/>
    <n v="55"/>
    <n v="42"/>
  </r>
  <r>
    <s v="1038"/>
    <x v="62"/>
    <x v="253"/>
    <x v="34"/>
    <s v="Robert King"/>
    <s v="G'day, Mate"/>
    <x v="0"/>
    <s v="UK"/>
    <s v="Isle of Wight"/>
    <s v="Cowes"/>
    <n v="42.4"/>
    <n v="48"/>
  </r>
  <r>
    <s v="1038"/>
    <x v="62"/>
    <x v="168"/>
    <x v="44"/>
    <s v="Robert King"/>
    <s v="Aux joyeux ecclésiastiques"/>
    <x v="0"/>
    <s v="UK"/>
    <s v="Isle of Wight"/>
    <s v="Cowes"/>
    <n v="18"/>
    <n v="3"/>
  </r>
  <r>
    <s v="1038"/>
    <x v="62"/>
    <x v="253"/>
    <x v="61"/>
    <s v="Robert King"/>
    <s v="Formaggi Fortini s.r.l."/>
    <x v="0"/>
    <s v="UK"/>
    <s v="Isle of Wight"/>
    <s v="Cowes"/>
    <n v="25.6"/>
    <n v="6"/>
  </r>
  <r>
    <s v="1038"/>
    <x v="62"/>
    <x v="347"/>
    <x v="11"/>
    <s v="Andrew Fuller"/>
    <s v="Pavlova, Ltd."/>
    <x v="0"/>
    <s v="UK"/>
    <s v="Isle of Wight"/>
    <s v="Cowes"/>
    <n v="62.5"/>
    <n v="25"/>
  </r>
  <r>
    <s v="1038"/>
    <x v="62"/>
    <x v="253"/>
    <x v="60"/>
    <s v="Robert King"/>
    <s v="Formaggi Fortini s.r.l."/>
    <x v="0"/>
    <s v="UK"/>
    <s v="Isle of Wight"/>
    <s v="Cowes"/>
    <n v="10"/>
    <n v="25"/>
  </r>
  <r>
    <s v="1038"/>
    <x v="62"/>
    <x v="253"/>
    <x v="8"/>
    <s v="Robert King"/>
    <s v="Exotic Liquids"/>
    <x v="0"/>
    <s v="UK"/>
    <s v="Isle of Wight"/>
    <s v="Cowes"/>
    <n v="15.2"/>
    <n v="7"/>
  </r>
  <r>
    <s v="1038"/>
    <x v="62"/>
    <x v="3"/>
    <x v="68"/>
    <s v="Michael Suyama"/>
    <s v="Mayumi's"/>
    <x v="0"/>
    <s v="UK"/>
    <s v="Isle of Wight"/>
    <s v="Cowes"/>
    <n v="23.25"/>
    <n v="70"/>
  </r>
  <r>
    <s v="1038"/>
    <x v="62"/>
    <x v="3"/>
    <x v="39"/>
    <s v="Michael Suyama"/>
    <s v="New Orleans Cajun Delights"/>
    <x v="0"/>
    <s v="UK"/>
    <s v="Isle of Wight"/>
    <s v="Cowes"/>
    <n v="21.05"/>
    <n v="20"/>
  </r>
  <r>
    <s v="1038"/>
    <x v="62"/>
    <x v="125"/>
    <x v="76"/>
    <s v="Janet Leverling"/>
    <s v="New England Seafood Cannery"/>
    <x v="1"/>
    <s v="UK"/>
    <s v="Isle of Wight"/>
    <s v="Cowes"/>
    <n v="18.399999999999999"/>
    <n v="40"/>
  </r>
  <r>
    <s v="1038"/>
    <x v="62"/>
    <x v="345"/>
    <x v="71"/>
    <s v="Janet Leverling"/>
    <s v="Karkki Oy"/>
    <x v="0"/>
    <s v="UK"/>
    <s v="Isle of Wight"/>
    <s v="Cowes"/>
    <n v="13"/>
    <n v="40"/>
  </r>
  <r>
    <s v="1038"/>
    <x v="62"/>
    <x v="178"/>
    <x v="37"/>
    <s v="Janet Leverling"/>
    <s v="Plutzer Lebensmittelgroßmärkte AG"/>
    <x v="1"/>
    <s v="UK"/>
    <s v="Isle of Wight"/>
    <s v="Cowes"/>
    <n v="123.79"/>
    <n v="80"/>
  </r>
  <r>
    <s v="1038"/>
    <x v="62"/>
    <x v="109"/>
    <x v="56"/>
    <s v="Andrew Fuller"/>
    <s v="Las Cabras"/>
    <x v="1"/>
    <s v="UK"/>
    <s v="Isle of Wight"/>
    <s v="Cowes"/>
    <n v="21"/>
    <n v="40"/>
  </r>
  <r>
    <s v="1038"/>
    <x v="62"/>
    <x v="53"/>
    <x v="45"/>
    <s v="Janet Leverling"/>
    <s v="Leka Trading"/>
    <x v="0"/>
    <s v="UK"/>
    <s v="Isle of Wight"/>
    <s v="Cowes"/>
    <n v="11.2"/>
    <n v="2"/>
  </r>
  <r>
    <s v="1038"/>
    <x v="62"/>
    <x v="121"/>
    <x v="17"/>
    <s v="Nancy Davolio"/>
    <s v="Gai pâturage"/>
    <x v="0"/>
    <s v="UK"/>
    <s v="Isle of Wight"/>
    <s v="Cowes"/>
    <n v="55"/>
    <n v="40"/>
  </r>
  <r>
    <s v="1038"/>
    <x v="62"/>
    <x v="53"/>
    <x v="70"/>
    <s v="Janet Leverling"/>
    <s v="Grandma Kelly's Homestead"/>
    <x v="0"/>
    <s v="UK"/>
    <s v="Isle of Wight"/>
    <s v="Cowes"/>
    <n v="20"/>
    <n v="30"/>
  </r>
  <r>
    <s v="1038"/>
    <x v="62"/>
    <x v="53"/>
    <x v="3"/>
    <s v="Janet Leverling"/>
    <s v="New Orleans Cajun Delights"/>
    <x v="0"/>
    <s v="UK"/>
    <s v="Isle of Wight"/>
    <s v="Cowes"/>
    <n v="17.600000000000001"/>
    <n v="20"/>
  </r>
  <r>
    <s v="1038"/>
    <x v="62"/>
    <x v="178"/>
    <x v="33"/>
    <s v="Janet Leverling"/>
    <s v="Nord-Ost-Fisch Handelsgesellschaft mbH"/>
    <x v="1"/>
    <s v="UK"/>
    <s v="Isle of Wight"/>
    <s v="Cowes"/>
    <n v="25.89"/>
    <n v="36"/>
  </r>
  <r>
    <s v="1038"/>
    <x v="62"/>
    <x v="121"/>
    <x v="60"/>
    <s v="Nancy Davolio"/>
    <s v="Formaggi Fortini s.r.l."/>
    <x v="0"/>
    <s v="UK"/>
    <s v="Isle of Wight"/>
    <s v="Cowes"/>
    <n v="12.5"/>
    <n v="60"/>
  </r>
  <r>
    <s v="1021"/>
    <x v="63"/>
    <x v="223"/>
    <x v="13"/>
    <s v="Robert King"/>
    <s v="Bigfoot Breweries"/>
    <x v="1"/>
    <s v="Brazil"/>
    <s v="SP"/>
    <s v="São Paulo"/>
    <n v="18"/>
    <n v="6"/>
  </r>
  <r>
    <s v="1021"/>
    <x v="63"/>
    <x v="168"/>
    <x v="12"/>
    <s v="Robert King"/>
    <s v="Norske Meierier"/>
    <x v="0"/>
    <s v="Brazil"/>
    <s v="SP"/>
    <s v="São Paulo"/>
    <n v="36"/>
    <n v="45"/>
  </r>
  <r>
    <s v="1021"/>
    <x v="63"/>
    <x v="223"/>
    <x v="48"/>
    <s v="Robert King"/>
    <s v="PB Knäckebröd AB"/>
    <x v="1"/>
    <s v="Brazil"/>
    <s v="SP"/>
    <s v="São Paulo"/>
    <n v="21"/>
    <n v="52"/>
  </r>
  <r>
    <s v="1021"/>
    <x v="63"/>
    <x v="315"/>
    <x v="5"/>
    <s v="Robert King"/>
    <s v="Heli Süßwaren GmbH &amp; Co. KG"/>
    <x v="0"/>
    <s v="Brazil"/>
    <s v="SP"/>
    <s v="São Paulo"/>
    <n v="31.23"/>
    <n v="35"/>
  </r>
  <r>
    <s v="1021"/>
    <x v="63"/>
    <x v="177"/>
    <x v="28"/>
    <s v="Laura Callahan"/>
    <s v="Pavlova, Ltd."/>
    <x v="1"/>
    <s v="Brazil"/>
    <s v="SP"/>
    <s v="São Paulo"/>
    <n v="43.9"/>
    <n v="35"/>
  </r>
  <r>
    <s v="1021"/>
    <x v="63"/>
    <x v="177"/>
    <x v="60"/>
    <s v="Laura Callahan"/>
    <s v="Formaggi Fortini s.r.l."/>
    <x v="1"/>
    <s v="Brazil"/>
    <s v="SP"/>
    <s v="São Paulo"/>
    <n v="12.5"/>
    <n v="24"/>
  </r>
  <r>
    <s v="1021"/>
    <x v="63"/>
    <x v="34"/>
    <x v="31"/>
    <s v="Robert King"/>
    <s v="Plutzer Lebensmittelgroßmärkte AG"/>
    <x v="1"/>
    <s v="Brazil"/>
    <s v="SP"/>
    <s v="São Paulo"/>
    <n v="45.6"/>
    <n v="70"/>
  </r>
  <r>
    <s v="1021"/>
    <x v="63"/>
    <x v="34"/>
    <x v="20"/>
    <s v="Robert King"/>
    <s v="Bigfoot Breweries"/>
    <x v="1"/>
    <s v="Brazil"/>
    <s v="SP"/>
    <s v="São Paulo"/>
    <n v="14"/>
    <n v="90"/>
  </r>
  <r>
    <s v="1021"/>
    <x v="63"/>
    <x v="13"/>
    <x v="4"/>
    <s v="Andrew Fuller"/>
    <s v="Forêts d'érables"/>
    <x v="0"/>
    <s v="Brazil"/>
    <s v="SP"/>
    <s v="São Paulo"/>
    <n v="28.5"/>
    <n v="120"/>
  </r>
  <r>
    <s v="1021"/>
    <x v="63"/>
    <x v="315"/>
    <x v="54"/>
    <s v="Robert King"/>
    <s v="Mayumi's"/>
    <x v="0"/>
    <s v="Brazil"/>
    <s v="SP"/>
    <s v="São Paulo"/>
    <n v="6"/>
    <n v="13"/>
  </r>
  <r>
    <s v="1021"/>
    <x v="63"/>
    <x v="315"/>
    <x v="69"/>
    <s v="Robert King"/>
    <s v="Las Cabras"/>
    <x v="0"/>
    <s v="Brazil"/>
    <s v="SP"/>
    <s v="São Paulo"/>
    <n v="38"/>
    <n v="36"/>
  </r>
  <r>
    <s v="1021"/>
    <x v="63"/>
    <x v="34"/>
    <x v="51"/>
    <s v="Robert King"/>
    <s v="Norske Meierier"/>
    <x v="1"/>
    <s v="Brazil"/>
    <s v="SP"/>
    <s v="São Paulo"/>
    <n v="21.5"/>
    <n v="21"/>
  </r>
  <r>
    <s v="1021"/>
    <x v="63"/>
    <x v="328"/>
    <x v="62"/>
    <s v="Andrew Fuller"/>
    <s v="Plutzer Lebensmittelgroßmärkte AG"/>
    <x v="0"/>
    <s v="Brazil"/>
    <s v="SP"/>
    <s v="São Paulo"/>
    <n v="26.6"/>
    <n v="35"/>
  </r>
  <r>
    <s v="1021"/>
    <x v="63"/>
    <x v="223"/>
    <x v="35"/>
    <s v="Robert King"/>
    <s v="Gai pâturage"/>
    <x v="1"/>
    <s v="Brazil"/>
    <s v="SP"/>
    <s v="São Paulo"/>
    <n v="34"/>
    <n v="60"/>
  </r>
  <r>
    <s v="1021"/>
    <x v="63"/>
    <x v="223"/>
    <x v="62"/>
    <s v="Robert King"/>
    <s v="Plutzer Lebensmittelgroßmärkte AG"/>
    <x v="1"/>
    <s v="Brazil"/>
    <s v="SP"/>
    <s v="São Paulo"/>
    <n v="33.25"/>
    <n v="30"/>
  </r>
  <r>
    <s v="1021"/>
    <x v="63"/>
    <x v="177"/>
    <x v="65"/>
    <s v="Laura Callahan"/>
    <s v="Heli Süßwaren GmbH &amp; Co. KG"/>
    <x v="1"/>
    <s v="Brazil"/>
    <s v="SP"/>
    <s v="São Paulo"/>
    <n v="43.9"/>
    <n v="30"/>
  </r>
  <r>
    <s v="1021"/>
    <x v="63"/>
    <x v="288"/>
    <x v="45"/>
    <s v="Laura Callahan"/>
    <s v="Leka Trading"/>
    <x v="0"/>
    <s v="Brazil"/>
    <s v="SP"/>
    <s v="São Paulo"/>
    <n v="14"/>
    <n v="28"/>
  </r>
  <r>
    <s v="1021"/>
    <x v="63"/>
    <x v="328"/>
    <x v="53"/>
    <s v="Andrew Fuller"/>
    <s v="Pasta Buttini s.r.l."/>
    <x v="0"/>
    <s v="Brazil"/>
    <s v="SP"/>
    <s v="São Paulo"/>
    <n v="15.6"/>
    <n v="25"/>
  </r>
  <r>
    <s v="1021"/>
    <x v="63"/>
    <x v="263"/>
    <x v="7"/>
    <s v="Andrew Fuller"/>
    <s v="Specialty Biscuits, Ltd."/>
    <x v="1"/>
    <s v="Brazil"/>
    <s v="SP"/>
    <s v="São Paulo"/>
    <n v="10"/>
    <n v="65"/>
  </r>
  <r>
    <s v="1021"/>
    <x v="63"/>
    <x v="13"/>
    <x v="13"/>
    <s v="Andrew Fuller"/>
    <s v="Bigfoot Breweries"/>
    <x v="0"/>
    <s v="Brazil"/>
    <s v="SP"/>
    <s v="São Paulo"/>
    <n v="18"/>
    <n v="30"/>
  </r>
  <r>
    <s v="1021"/>
    <x v="63"/>
    <x v="263"/>
    <x v="63"/>
    <s v="Andrew Fuller"/>
    <s v="Ma Maison"/>
    <x v="1"/>
    <s v="Brazil"/>
    <s v="SP"/>
    <s v="São Paulo"/>
    <n v="24"/>
    <n v="65"/>
  </r>
  <r>
    <s v="1021"/>
    <x v="63"/>
    <x v="328"/>
    <x v="31"/>
    <s v="Andrew Fuller"/>
    <s v="Plutzer Lebensmittelgroßmärkte AG"/>
    <x v="0"/>
    <s v="Brazil"/>
    <s v="SP"/>
    <s v="São Paulo"/>
    <n v="36.4"/>
    <n v="13"/>
  </r>
  <r>
    <s v="1021"/>
    <x v="63"/>
    <x v="223"/>
    <x v="53"/>
    <s v="Robert King"/>
    <s v="Pasta Buttini s.r.l."/>
    <x v="1"/>
    <s v="Brazil"/>
    <s v="SP"/>
    <s v="São Paulo"/>
    <n v="19.5"/>
    <n v="24"/>
  </r>
  <r>
    <s v="1021"/>
    <x v="63"/>
    <x v="288"/>
    <x v="68"/>
    <s v="Laura Callahan"/>
    <s v="Mayumi's"/>
    <x v="0"/>
    <s v="Brazil"/>
    <s v="SP"/>
    <s v="São Paulo"/>
    <n v="23.25"/>
    <n v="11"/>
  </r>
  <r>
    <s v="1021"/>
    <x v="63"/>
    <x v="315"/>
    <x v="9"/>
    <s v="Robert King"/>
    <s v="Forêts d'érables"/>
    <x v="0"/>
    <s v="Brazil"/>
    <s v="SP"/>
    <s v="São Paulo"/>
    <n v="49.3"/>
    <n v="80"/>
  </r>
  <r>
    <s v="1021"/>
    <x v="63"/>
    <x v="13"/>
    <x v="12"/>
    <s v="Andrew Fuller"/>
    <s v="Norske Meierier"/>
    <x v="0"/>
    <s v="Brazil"/>
    <s v="SP"/>
    <s v="São Paulo"/>
    <n v="36"/>
    <n v="65"/>
  </r>
  <r>
    <s v="1021"/>
    <x v="63"/>
    <x v="328"/>
    <x v="7"/>
    <s v="Andrew Fuller"/>
    <s v="Specialty Biscuits, Ltd."/>
    <x v="0"/>
    <s v="Brazil"/>
    <s v="SP"/>
    <s v="São Paulo"/>
    <n v="8"/>
    <n v="5"/>
  </r>
  <r>
    <s v="1021"/>
    <x v="63"/>
    <x v="263"/>
    <x v="4"/>
    <s v="Andrew Fuller"/>
    <s v="Forêts d'érables"/>
    <x v="1"/>
    <s v="Brazil"/>
    <s v="SP"/>
    <s v="São Paulo"/>
    <n v="28.5"/>
    <n v="66"/>
  </r>
  <r>
    <s v="1021"/>
    <x v="63"/>
    <x v="263"/>
    <x v="20"/>
    <s v="Andrew Fuller"/>
    <s v="Bigfoot Breweries"/>
    <x v="1"/>
    <s v="Brazil"/>
    <s v="SP"/>
    <s v="São Paulo"/>
    <n v="14"/>
    <n v="60"/>
  </r>
  <r>
    <s v="1021"/>
    <x v="63"/>
    <x v="303"/>
    <x v="21"/>
    <s v="Nancy Davolio"/>
    <s v="Lyngbysild"/>
    <x v="1"/>
    <s v="Brazil"/>
    <s v="SP"/>
    <s v="São Paulo"/>
    <n v="9.5"/>
    <n v="27"/>
  </r>
  <r>
    <s v="1021"/>
    <x v="63"/>
    <x v="29"/>
    <x v="60"/>
    <s v="Nancy Davolio"/>
    <s v="Formaggi Fortini s.r.l."/>
    <x v="1"/>
    <s v="Brazil"/>
    <s v="SP"/>
    <s v="São Paulo"/>
    <n v="12.5"/>
    <n v="70"/>
  </r>
  <r>
    <s v="1021"/>
    <x v="63"/>
    <x v="101"/>
    <x v="8"/>
    <s v="Margaret Peacock"/>
    <s v="Exotic Liquids"/>
    <x v="1"/>
    <s v="Brazil"/>
    <s v="SP"/>
    <s v="São Paulo"/>
    <n v="19"/>
    <n v="8"/>
  </r>
  <r>
    <s v="1021"/>
    <x v="63"/>
    <x v="29"/>
    <x v="27"/>
    <s v="Nancy Davolio"/>
    <s v="Plutzer Lebensmittelgroßmärkte AG"/>
    <x v="1"/>
    <s v="Brazil"/>
    <s v="SP"/>
    <s v="São Paulo"/>
    <n v="7.75"/>
    <n v="7"/>
  </r>
  <r>
    <s v="1021"/>
    <x v="63"/>
    <x v="303"/>
    <x v="60"/>
    <s v="Nancy Davolio"/>
    <s v="Formaggi Fortini s.r.l."/>
    <x v="1"/>
    <s v="Brazil"/>
    <s v="SP"/>
    <s v="São Paulo"/>
    <n v="12.5"/>
    <n v="16"/>
  </r>
  <r>
    <s v="1021"/>
    <x v="63"/>
    <x v="303"/>
    <x v="45"/>
    <s v="Nancy Davolio"/>
    <s v="Leka Trading"/>
    <x v="1"/>
    <s v="Brazil"/>
    <s v="SP"/>
    <s v="São Paulo"/>
    <n v="14"/>
    <n v="12"/>
  </r>
  <r>
    <s v="1021"/>
    <x v="63"/>
    <x v="199"/>
    <x v="35"/>
    <s v="Janet Leverling"/>
    <s v="Gai pâturage"/>
    <x v="1"/>
    <s v="Brazil"/>
    <s v="SP"/>
    <s v="São Paulo"/>
    <n v="34"/>
    <n v="100"/>
  </r>
  <r>
    <s v="1021"/>
    <x v="63"/>
    <x v="348"/>
    <x v="60"/>
    <s v="Michael Suyama"/>
    <s v="Formaggi Fortini s.r.l."/>
    <x v="0"/>
    <s v="Brazil"/>
    <s v="SP"/>
    <s v="São Paulo"/>
    <n v="10"/>
    <n v="60"/>
  </r>
  <r>
    <s v="1021"/>
    <x v="63"/>
    <x v="199"/>
    <x v="41"/>
    <s v="Janet Leverling"/>
    <s v="Refrescos Americanas LTDA"/>
    <x v="1"/>
    <s v="Brazil"/>
    <s v="SP"/>
    <s v="São Paulo"/>
    <n v="4.5"/>
    <n v="110"/>
  </r>
  <r>
    <s v="1021"/>
    <x v="63"/>
    <x v="348"/>
    <x v="26"/>
    <s v="Michael Suyama"/>
    <s v="Lyngbysild"/>
    <x v="0"/>
    <s v="Brazil"/>
    <s v="SP"/>
    <s v="São Paulo"/>
    <n v="9.6"/>
    <n v="45"/>
  </r>
  <r>
    <s v="1021"/>
    <x v="63"/>
    <x v="303"/>
    <x v="34"/>
    <s v="Nancy Davolio"/>
    <s v="G'day, Mate"/>
    <x v="1"/>
    <s v="Brazil"/>
    <s v="SP"/>
    <s v="São Paulo"/>
    <n v="53"/>
    <n v="120"/>
  </r>
  <r>
    <s v="1021"/>
    <x v="63"/>
    <x v="101"/>
    <x v="57"/>
    <s v="Margaret Peacock"/>
    <s v="New England Seafood Cannery"/>
    <x v="1"/>
    <s v="Brazil"/>
    <s v="SP"/>
    <s v="São Paulo"/>
    <n v="9.65"/>
    <n v="40"/>
  </r>
  <r>
    <s v="1021"/>
    <x v="63"/>
    <x v="101"/>
    <x v="71"/>
    <s v="Margaret Peacock"/>
    <s v="Karkki Oy"/>
    <x v="1"/>
    <s v="Brazil"/>
    <s v="SP"/>
    <s v="São Paulo"/>
    <n v="16.25"/>
    <n v="22"/>
  </r>
  <r>
    <s v="1021"/>
    <x v="63"/>
    <x v="101"/>
    <x v="62"/>
    <s v="Margaret Peacock"/>
    <s v="Plutzer Lebensmittelgroßmärkte AG"/>
    <x v="1"/>
    <s v="Brazil"/>
    <s v="SP"/>
    <s v="São Paulo"/>
    <n v="33.25"/>
    <n v="130"/>
  </r>
  <r>
    <s v="1021"/>
    <x v="63"/>
    <x v="181"/>
    <x v="54"/>
    <s v="Janet Leverling"/>
    <s v="Mayumi's"/>
    <x v="1"/>
    <s v="Brazil"/>
    <s v="SP"/>
    <s v="São Paulo"/>
    <n v="6"/>
    <n v="65"/>
  </r>
  <r>
    <s v="1021"/>
    <x v="63"/>
    <x v="181"/>
    <x v="43"/>
    <s v="Janet Leverling"/>
    <s v="Tokyo Traders"/>
    <x v="1"/>
    <s v="Brazil"/>
    <s v="SP"/>
    <s v="São Paulo"/>
    <n v="31"/>
    <n v="100"/>
  </r>
  <r>
    <s v="1021"/>
    <x v="63"/>
    <x v="189"/>
    <x v="0"/>
    <s v="Janet Leverling"/>
    <s v="Ma Maison"/>
    <x v="0"/>
    <s v="Brazil"/>
    <s v="SP"/>
    <s v="São Paulo"/>
    <n v="5.9"/>
    <n v="80"/>
  </r>
  <r>
    <s v="1021"/>
    <x v="63"/>
    <x v="199"/>
    <x v="44"/>
    <s v="Janet Leverling"/>
    <s v="Aux joyeux ecclésiastiques"/>
    <x v="1"/>
    <s v="Brazil"/>
    <s v="SP"/>
    <s v="São Paulo"/>
    <n v="18"/>
    <n v="45"/>
  </r>
  <r>
    <s v="1021"/>
    <x v="63"/>
    <x v="56"/>
    <x v="47"/>
    <s v="Margaret Peacock"/>
    <s v="Pavlova, Ltd."/>
    <x v="0"/>
    <s v="Brazil"/>
    <s v="SP"/>
    <s v="São Paulo"/>
    <n v="15"/>
    <n v="8"/>
  </r>
  <r>
    <s v="1021"/>
    <x v="63"/>
    <x v="292"/>
    <x v="47"/>
    <s v="Anne Dodsworth"/>
    <s v="Pavlova, Ltd."/>
    <x v="1"/>
    <s v="Brazil"/>
    <s v="SP"/>
    <s v="São Paulo"/>
    <n v="15"/>
    <n v="30"/>
  </r>
  <r>
    <s v="1021"/>
    <x v="63"/>
    <x v="292"/>
    <x v="17"/>
    <s v="Anne Dodsworth"/>
    <s v="Gai pâturage"/>
    <x v="1"/>
    <s v="Brazil"/>
    <s v="SP"/>
    <s v="São Paulo"/>
    <n v="55"/>
    <n v="110"/>
  </r>
  <r>
    <s v="1021"/>
    <x v="63"/>
    <x v="292"/>
    <x v="66"/>
    <s v="Anne Dodsworth"/>
    <s v="Exotic Liquids"/>
    <x v="1"/>
    <s v="Brazil"/>
    <s v="SP"/>
    <s v="São Paulo"/>
    <n v="10"/>
    <n v="25"/>
  </r>
  <r>
    <s v="1021"/>
    <x v="63"/>
    <x v="349"/>
    <x v="74"/>
    <s v="Anne Dodsworth"/>
    <s v="Tokyo Traders"/>
    <x v="0"/>
    <s v="Brazil"/>
    <s v="SP"/>
    <s v="São Paulo"/>
    <n v="8"/>
    <n v="36"/>
  </r>
  <r>
    <s v="1021"/>
    <x v="63"/>
    <x v="349"/>
    <x v="33"/>
    <s v="Anne Dodsworth"/>
    <s v="Nord-Ost-Fisch Handelsgesellschaft mbH"/>
    <x v="0"/>
    <s v="Brazil"/>
    <s v="SP"/>
    <s v="São Paulo"/>
    <n v="20.7"/>
    <n v="60"/>
  </r>
  <r>
    <s v="1021"/>
    <x v="63"/>
    <x v="349"/>
    <x v="41"/>
    <s v="Anne Dodsworth"/>
    <s v="Refrescos Americanas LTDA"/>
    <x v="0"/>
    <s v="Brazil"/>
    <s v="SP"/>
    <s v="São Paulo"/>
    <n v="3.6"/>
    <n v="28"/>
  </r>
  <r>
    <s v="1021"/>
    <x v="63"/>
    <x v="349"/>
    <x v="1"/>
    <s v="Anne Dodsworth"/>
    <s v="Pavlova, Ltd."/>
    <x v="0"/>
    <s v="Brazil"/>
    <s v="SP"/>
    <s v="São Paulo"/>
    <n v="13.9"/>
    <n v="60"/>
  </r>
  <r>
    <s v="1021"/>
    <x v="63"/>
    <x v="29"/>
    <x v="15"/>
    <s v="Nancy Davolio"/>
    <s v="Pavlova, Ltd."/>
    <x v="1"/>
    <s v="Brazil"/>
    <s v="SP"/>
    <s v="São Paulo"/>
    <n v="39"/>
    <n v="33"/>
  </r>
  <r>
    <s v="1021"/>
    <x v="63"/>
    <x v="350"/>
    <x v="55"/>
    <s v="Laura Callahan"/>
    <s v="PB Knäckebröd AB"/>
    <x v="0"/>
    <s v="Brazil"/>
    <s v="SP"/>
    <s v="São Paulo"/>
    <n v="7.2"/>
    <n v="60"/>
  </r>
  <r>
    <s v="1021"/>
    <x v="63"/>
    <x v="348"/>
    <x v="30"/>
    <s v="Michael Suyama"/>
    <s v="Formaggi Fortini s.r.l."/>
    <x v="0"/>
    <s v="Brazil"/>
    <s v="SP"/>
    <s v="São Paulo"/>
    <n v="27.8"/>
    <n v="24"/>
  </r>
  <r>
    <s v="1021"/>
    <x v="63"/>
    <x v="56"/>
    <x v="39"/>
    <s v="Margaret Peacock"/>
    <s v="New Orleans Cajun Delights"/>
    <x v="0"/>
    <s v="Brazil"/>
    <s v="SP"/>
    <s v="São Paulo"/>
    <n v="21.05"/>
    <n v="65"/>
  </r>
  <r>
    <s v="1021"/>
    <x v="63"/>
    <x v="56"/>
    <x v="37"/>
    <s v="Margaret Peacock"/>
    <s v="Plutzer Lebensmittelgroßmärkte AG"/>
    <x v="0"/>
    <s v="Brazil"/>
    <s v="SP"/>
    <s v="São Paulo"/>
    <n v="123.79"/>
    <n v="12"/>
  </r>
  <r>
    <s v="1021"/>
    <x v="63"/>
    <x v="199"/>
    <x v="76"/>
    <s v="Janet Leverling"/>
    <s v="New England Seafood Cannery"/>
    <x v="1"/>
    <s v="Brazil"/>
    <s v="SP"/>
    <s v="São Paulo"/>
    <n v="18.399999999999999"/>
    <n v="91"/>
  </r>
  <r>
    <s v="1021"/>
    <x v="63"/>
    <x v="56"/>
    <x v="15"/>
    <s v="Margaret Peacock"/>
    <s v="Pavlova, Ltd."/>
    <x v="0"/>
    <s v="Brazil"/>
    <s v="SP"/>
    <s v="São Paulo"/>
    <n v="39"/>
    <n v="8"/>
  </r>
  <r>
    <s v="1021"/>
    <x v="63"/>
    <x v="56"/>
    <x v="56"/>
    <s v="Margaret Peacock"/>
    <s v="Las Cabras"/>
    <x v="0"/>
    <s v="Brazil"/>
    <s v="SP"/>
    <s v="São Paulo"/>
    <n v="21"/>
    <n v="15"/>
  </r>
  <r>
    <s v="1021"/>
    <x v="63"/>
    <x v="348"/>
    <x v="13"/>
    <s v="Michael Suyama"/>
    <s v="Bigfoot Breweries"/>
    <x v="0"/>
    <s v="Brazil"/>
    <s v="SP"/>
    <s v="São Paulo"/>
    <n v="14.4"/>
    <n v="40"/>
  </r>
  <r>
    <s v="1021"/>
    <x v="63"/>
    <x v="189"/>
    <x v="56"/>
    <s v="Janet Leverling"/>
    <s v="Las Cabras"/>
    <x v="0"/>
    <s v="Brazil"/>
    <s v="SP"/>
    <s v="São Paulo"/>
    <n v="16.8"/>
    <n v="30"/>
  </r>
  <r>
    <s v="1021"/>
    <x v="63"/>
    <x v="350"/>
    <x v="28"/>
    <s v="Laura Callahan"/>
    <s v="Pavlova, Ltd."/>
    <x v="0"/>
    <s v="Brazil"/>
    <s v="SP"/>
    <s v="São Paulo"/>
    <n v="35.1"/>
    <n v="65"/>
  </r>
  <r>
    <s v="1021"/>
    <x v="63"/>
    <x v="188"/>
    <x v="41"/>
    <s v="Nancy Davolio"/>
    <s v="Refrescos Americanas LTDA"/>
    <x v="1"/>
    <s v="Brazil"/>
    <s v="SP"/>
    <s v="São Paulo"/>
    <n v="4.5"/>
    <n v="30"/>
  </r>
  <r>
    <s v="1021"/>
    <x v="63"/>
    <x v="351"/>
    <x v="22"/>
    <s v="Margaret Peacock"/>
    <s v="Pasta Buttini s.r.l."/>
    <x v="0"/>
    <s v="Brazil"/>
    <s v="SP"/>
    <s v="São Paulo"/>
    <n v="30.4"/>
    <n v="30"/>
  </r>
  <r>
    <s v="1021"/>
    <x v="63"/>
    <x v="189"/>
    <x v="67"/>
    <s v="Janet Leverling"/>
    <s v="New Orleans Cajun Delights"/>
    <x v="0"/>
    <s v="Brazil"/>
    <s v="SP"/>
    <s v="São Paulo"/>
    <n v="13.6"/>
    <n v="60"/>
  </r>
  <r>
    <s v="1021"/>
    <x v="63"/>
    <x v="177"/>
    <x v="36"/>
    <s v="Laura Callahan"/>
    <s v="Grandma Kelly's Homestead"/>
    <x v="1"/>
    <s v="Brazil"/>
    <s v="SP"/>
    <s v="São Paulo"/>
    <n v="30"/>
    <n v="18"/>
  </r>
  <r>
    <s v="1021"/>
    <x v="63"/>
    <x v="177"/>
    <x v="69"/>
    <s v="Laura Callahan"/>
    <s v="Las Cabras"/>
    <x v="1"/>
    <s v="Brazil"/>
    <s v="SP"/>
    <s v="São Paulo"/>
    <n v="38"/>
    <n v="20"/>
  </r>
  <r>
    <s v="1021"/>
    <x v="63"/>
    <x v="177"/>
    <x v="41"/>
    <s v="Laura Callahan"/>
    <s v="Refrescos Americanas LTDA"/>
    <x v="1"/>
    <s v="Brazil"/>
    <s v="SP"/>
    <s v="São Paulo"/>
    <n v="4.5"/>
    <n v="80"/>
  </r>
  <r>
    <s v="1021"/>
    <x v="63"/>
    <x v="266"/>
    <x v="1"/>
    <s v="Margaret Peacock"/>
    <s v="Pavlova, Ltd."/>
    <x v="0"/>
    <s v="Brazil"/>
    <s v="SP"/>
    <s v="São Paulo"/>
    <n v="13.9"/>
    <n v="21"/>
  </r>
  <r>
    <s v="1021"/>
    <x v="63"/>
    <x v="266"/>
    <x v="42"/>
    <s v="Margaret Peacock"/>
    <s v="Zaanse Snoepfabriek"/>
    <x v="0"/>
    <s v="Brazil"/>
    <s v="SP"/>
    <s v="São Paulo"/>
    <n v="10.199999999999999"/>
    <n v="70"/>
  </r>
  <r>
    <s v="1021"/>
    <x v="63"/>
    <x v="311"/>
    <x v="18"/>
    <s v="Nancy Davolio"/>
    <s v="Aux joyeux ecclésiastiques"/>
    <x v="0"/>
    <s v="Brazil"/>
    <s v="SP"/>
    <s v="São Paulo"/>
    <n v="210.8"/>
    <n v="20"/>
  </r>
  <r>
    <s v="1021"/>
    <x v="63"/>
    <x v="188"/>
    <x v="62"/>
    <s v="Nancy Davolio"/>
    <s v="Plutzer Lebensmittelgroßmärkte AG"/>
    <x v="1"/>
    <s v="Brazil"/>
    <s v="SP"/>
    <s v="São Paulo"/>
    <n v="33.25"/>
    <n v="4"/>
  </r>
  <r>
    <s v="1021"/>
    <x v="63"/>
    <x v="351"/>
    <x v="17"/>
    <s v="Margaret Peacock"/>
    <s v="Gai pâturage"/>
    <x v="0"/>
    <s v="Brazil"/>
    <s v="SP"/>
    <s v="São Paulo"/>
    <n v="44"/>
    <n v="70"/>
  </r>
  <r>
    <s v="1021"/>
    <x v="63"/>
    <x v="352"/>
    <x v="8"/>
    <s v="Nancy Davolio"/>
    <s v="Exotic Liquids"/>
    <x v="0"/>
    <s v="Brazil"/>
    <s v="SP"/>
    <s v="São Paulo"/>
    <n v="15.2"/>
    <n v="50"/>
  </r>
  <r>
    <s v="1021"/>
    <x v="63"/>
    <x v="352"/>
    <x v="64"/>
    <s v="Nancy Davolio"/>
    <s v="New Orleans Cajun Delights"/>
    <x v="0"/>
    <s v="Brazil"/>
    <s v="SP"/>
    <s v="São Paulo"/>
    <n v="17"/>
    <n v="65"/>
  </r>
  <r>
    <s v="1021"/>
    <x v="63"/>
    <x v="352"/>
    <x v="61"/>
    <s v="Nancy Davolio"/>
    <s v="Formaggi Fortini s.r.l."/>
    <x v="0"/>
    <s v="Brazil"/>
    <s v="SP"/>
    <s v="São Paulo"/>
    <n v="25.6"/>
    <n v="6"/>
  </r>
  <r>
    <s v="1021"/>
    <x v="63"/>
    <x v="91"/>
    <x v="15"/>
    <s v="Laura Callahan"/>
    <s v="Pavlova, Ltd."/>
    <x v="1"/>
    <s v="Brazil"/>
    <s v="SP"/>
    <s v="São Paulo"/>
    <n v="39"/>
    <n v="35"/>
  </r>
  <r>
    <s v="1021"/>
    <x v="63"/>
    <x v="91"/>
    <x v="1"/>
    <s v="Laura Callahan"/>
    <s v="Pavlova, Ltd."/>
    <x v="1"/>
    <s v="Brazil"/>
    <s v="SP"/>
    <s v="São Paulo"/>
    <n v="17.45"/>
    <n v="65"/>
  </r>
  <r>
    <s v="1021"/>
    <x v="63"/>
    <x v="188"/>
    <x v="69"/>
    <s v="Nancy Davolio"/>
    <s v="Las Cabras"/>
    <x v="1"/>
    <s v="Brazil"/>
    <s v="SP"/>
    <s v="São Paulo"/>
    <n v="38"/>
    <n v="30"/>
  </r>
  <r>
    <s v="1021"/>
    <x v="63"/>
    <x v="29"/>
    <x v="51"/>
    <s v="Anne Dodsworth"/>
    <s v="Norske Meierier"/>
    <x v="1"/>
    <s v="Brazil"/>
    <s v="SP"/>
    <s v="São Paulo"/>
    <n v="21.5"/>
    <n v="16"/>
  </r>
  <r>
    <s v="1021"/>
    <x v="63"/>
    <x v="168"/>
    <x v="51"/>
    <s v="Robert King"/>
    <s v="Norske Meierier"/>
    <x v="0"/>
    <s v="Brazil"/>
    <s v="SP"/>
    <s v="São Paulo"/>
    <n v="21.5"/>
    <n v="14"/>
  </r>
  <r>
    <s v="1021"/>
    <x v="63"/>
    <x v="351"/>
    <x v="15"/>
    <s v="Margaret Peacock"/>
    <s v="Pavlova, Ltd."/>
    <x v="0"/>
    <s v="Brazil"/>
    <s v="SP"/>
    <s v="São Paulo"/>
    <n v="31.2"/>
    <n v="45"/>
  </r>
  <r>
    <s v="1021"/>
    <x v="63"/>
    <x v="120"/>
    <x v="44"/>
    <s v="Michael Suyama"/>
    <s v="Aux joyeux ecclésiastiques"/>
    <x v="1"/>
    <s v="Brazil"/>
    <s v="SP"/>
    <s v="São Paulo"/>
    <n v="18"/>
    <n v="130"/>
  </r>
  <r>
    <s v="1021"/>
    <x v="63"/>
    <x v="311"/>
    <x v="57"/>
    <s v="Nancy Davolio"/>
    <s v="New England Seafood Cannery"/>
    <x v="0"/>
    <s v="Brazil"/>
    <s v="SP"/>
    <s v="São Paulo"/>
    <n v="7.7"/>
    <n v="13"/>
  </r>
  <r>
    <s v="1021"/>
    <x v="63"/>
    <x v="311"/>
    <x v="29"/>
    <s v="Nancy Davolio"/>
    <s v="Leka Trading"/>
    <x v="0"/>
    <s v="Brazil"/>
    <s v="SP"/>
    <s v="São Paulo"/>
    <n v="15.5"/>
    <n v="77"/>
  </r>
  <r>
    <s v="1021"/>
    <x v="63"/>
    <x v="311"/>
    <x v="39"/>
    <s v="Nancy Davolio"/>
    <s v="New Orleans Cajun Delights"/>
    <x v="0"/>
    <s v="Brazil"/>
    <s v="SP"/>
    <s v="São Paulo"/>
    <n v="16.8"/>
    <n v="10"/>
  </r>
  <r>
    <s v="1021"/>
    <x v="63"/>
    <x v="351"/>
    <x v="7"/>
    <s v="Margaret Peacock"/>
    <s v="Specialty Biscuits, Ltd."/>
    <x v="0"/>
    <s v="Brazil"/>
    <s v="SP"/>
    <s v="São Paulo"/>
    <n v="8"/>
    <n v="50"/>
  </r>
  <r>
    <s v="1021"/>
    <x v="63"/>
    <x v="120"/>
    <x v="66"/>
    <s v="Michael Suyama"/>
    <s v="Exotic Liquids"/>
    <x v="1"/>
    <s v="Brazil"/>
    <s v="SP"/>
    <s v="São Paulo"/>
    <n v="10"/>
    <n v="20"/>
  </r>
  <r>
    <s v="1021"/>
    <x v="63"/>
    <x v="192"/>
    <x v="74"/>
    <s v="Margaret Peacock"/>
    <s v="Tokyo Traders"/>
    <x v="0"/>
    <s v="Brazil"/>
    <s v="SP"/>
    <s v="São Paulo"/>
    <n v="8"/>
    <n v="50"/>
  </r>
  <r>
    <s v="1021"/>
    <x v="63"/>
    <x v="192"/>
    <x v="64"/>
    <s v="Margaret Peacock"/>
    <s v="New Orleans Cajun Delights"/>
    <x v="0"/>
    <s v="Brazil"/>
    <s v="SP"/>
    <s v="São Paulo"/>
    <n v="17"/>
    <n v="32"/>
  </r>
  <r>
    <s v="1021"/>
    <x v="63"/>
    <x v="192"/>
    <x v="11"/>
    <s v="Margaret Peacock"/>
    <s v="Pavlova, Ltd."/>
    <x v="0"/>
    <s v="Brazil"/>
    <s v="SP"/>
    <s v="São Paulo"/>
    <n v="50"/>
    <n v="9"/>
  </r>
  <r>
    <s v="1021"/>
    <x v="63"/>
    <x v="192"/>
    <x v="37"/>
    <s v="Margaret Peacock"/>
    <s v="Plutzer Lebensmittelgroßmärkte AG"/>
    <x v="0"/>
    <s v="Brazil"/>
    <s v="SP"/>
    <s v="São Paulo"/>
    <n v="99"/>
    <n v="14"/>
  </r>
  <r>
    <s v="1021"/>
    <x v="63"/>
    <x v="192"/>
    <x v="10"/>
    <s v="Margaret Peacock"/>
    <s v="Norske Meierier"/>
    <x v="0"/>
    <s v="Brazil"/>
    <s v="SP"/>
    <s v="São Paulo"/>
    <n v="2"/>
    <n v="60"/>
  </r>
  <r>
    <s v="1021"/>
    <x v="63"/>
    <x v="353"/>
    <x v="27"/>
    <s v="Janet Leverling"/>
    <s v="Plutzer Lebensmittelgroßmärkte AG"/>
    <x v="0"/>
    <s v="Brazil"/>
    <s v="SP"/>
    <s v="São Paulo"/>
    <n v="7.75"/>
    <n v="50"/>
  </r>
  <r>
    <s v="1021"/>
    <x v="63"/>
    <x v="353"/>
    <x v="39"/>
    <s v="Janet Leverling"/>
    <s v="New Orleans Cajun Delights"/>
    <x v="0"/>
    <s v="Brazil"/>
    <s v="SP"/>
    <s v="São Paulo"/>
    <n v="21.05"/>
    <n v="39"/>
  </r>
  <r>
    <s v="1021"/>
    <x v="63"/>
    <x v="353"/>
    <x v="22"/>
    <s v="Janet Leverling"/>
    <s v="Pasta Buttini s.r.l."/>
    <x v="0"/>
    <s v="Brazil"/>
    <s v="SP"/>
    <s v="São Paulo"/>
    <n v="38"/>
    <n v="70"/>
  </r>
  <r>
    <s v="1021"/>
    <x v="63"/>
    <x v="353"/>
    <x v="31"/>
    <s v="Janet Leverling"/>
    <s v="Plutzer Lebensmittelgroßmärkte AG"/>
    <x v="0"/>
    <s v="Brazil"/>
    <s v="SP"/>
    <s v="São Paulo"/>
    <n v="45.6"/>
    <n v="35"/>
  </r>
  <r>
    <s v="1021"/>
    <x v="63"/>
    <x v="353"/>
    <x v="59"/>
    <s v="Janet Leverling"/>
    <s v="Specialty Biscuits, Ltd."/>
    <x v="0"/>
    <s v="Brazil"/>
    <s v="SP"/>
    <s v="São Paulo"/>
    <n v="81"/>
    <n v="39"/>
  </r>
  <r>
    <s v="1084"/>
    <x v="64"/>
    <x v="228"/>
    <x v="31"/>
    <s v="Margaret Peacock"/>
    <s v="Plutzer Lebensmittelgroßmärkte AG"/>
    <x v="0"/>
    <s v="France"/>
    <m/>
    <s v="Lyon"/>
    <n v="45.6"/>
    <n v="60"/>
  </r>
  <r>
    <s v="1084"/>
    <x v="64"/>
    <x v="354"/>
    <x v="71"/>
    <s v="Nancy Davolio"/>
    <s v="Karkki Oy"/>
    <x v="0"/>
    <s v="France"/>
    <m/>
    <s v="Lyon"/>
    <n v="13"/>
    <n v="25"/>
  </r>
  <r>
    <s v="1084"/>
    <x v="64"/>
    <x v="228"/>
    <x v="20"/>
    <s v="Margaret Peacock"/>
    <s v="Bigfoot Breweries"/>
    <x v="0"/>
    <s v="France"/>
    <m/>
    <s v="Lyon"/>
    <n v="14"/>
    <n v="14"/>
  </r>
  <r>
    <s v="1084"/>
    <x v="64"/>
    <x v="210"/>
    <x v="43"/>
    <s v="Nancy Davolio"/>
    <s v="Tokyo Traders"/>
    <x v="1"/>
    <s v="France"/>
    <m/>
    <s v="Lyon"/>
    <n v="31"/>
    <n v="25"/>
  </r>
  <r>
    <s v="1084"/>
    <x v="64"/>
    <x v="210"/>
    <x v="41"/>
    <s v="Nancy Davolio"/>
    <s v="Refrescos Americanas LTDA"/>
    <x v="1"/>
    <s v="France"/>
    <m/>
    <s v="Lyon"/>
    <n v="4.5"/>
    <n v="25"/>
  </r>
  <r>
    <s v="1084"/>
    <x v="64"/>
    <x v="210"/>
    <x v="16"/>
    <s v="Nancy Davolio"/>
    <s v="Plutzer Lebensmittelgroßmärkte AG"/>
    <x v="1"/>
    <s v="France"/>
    <m/>
    <s v="Lyon"/>
    <n v="13"/>
    <n v="40"/>
  </r>
  <r>
    <s v="1084"/>
    <x v="64"/>
    <x v="228"/>
    <x v="43"/>
    <s v="Margaret Peacock"/>
    <s v="Tokyo Traders"/>
    <x v="0"/>
    <s v="France"/>
    <m/>
    <s v="Lyon"/>
    <n v="31"/>
    <n v="18"/>
  </r>
  <r>
    <s v="1084"/>
    <x v="64"/>
    <x v="92"/>
    <x v="13"/>
    <s v="Nancy Davolio"/>
    <s v="Bigfoot Breweries"/>
    <x v="1"/>
    <s v="France"/>
    <m/>
    <s v="Lyon"/>
    <n v="18"/>
    <n v="10"/>
  </r>
  <r>
    <s v="1084"/>
    <x v="64"/>
    <x v="284"/>
    <x v="20"/>
    <s v="Robert King"/>
    <s v="Bigfoot Breweries"/>
    <x v="0"/>
    <s v="France"/>
    <m/>
    <s v="Lyon"/>
    <n v="11.2"/>
    <n v="36"/>
  </r>
  <r>
    <s v="1084"/>
    <x v="64"/>
    <x v="54"/>
    <x v="32"/>
    <s v="Laura Callahan"/>
    <s v="Specialty Biscuits, Ltd."/>
    <x v="0"/>
    <s v="France"/>
    <m/>
    <s v="Lyon"/>
    <n v="10"/>
    <n v="60"/>
  </r>
  <r>
    <s v="1084"/>
    <x v="64"/>
    <x v="54"/>
    <x v="51"/>
    <s v="Laura Callahan"/>
    <s v="Norske Meierier"/>
    <x v="0"/>
    <s v="France"/>
    <m/>
    <s v="Lyon"/>
    <n v="17.2"/>
    <n v="30"/>
  </r>
  <r>
    <s v="1084"/>
    <x v="64"/>
    <x v="54"/>
    <x v="40"/>
    <s v="Laura Callahan"/>
    <s v="Karkki Oy"/>
    <x v="0"/>
    <s v="France"/>
    <m/>
    <s v="Lyon"/>
    <n v="14.4"/>
    <n v="35"/>
  </r>
  <r>
    <s v="1084"/>
    <x v="64"/>
    <x v="54"/>
    <x v="16"/>
    <s v="Laura Callahan"/>
    <s v="Plutzer Lebensmittelgroßmärkte AG"/>
    <x v="0"/>
    <s v="France"/>
    <m/>
    <s v="Lyon"/>
    <n v="10.4"/>
    <n v="14"/>
  </r>
  <r>
    <s v="1084"/>
    <x v="64"/>
    <x v="354"/>
    <x v="21"/>
    <s v="Nancy Davolio"/>
    <s v="Lyngbysild"/>
    <x v="0"/>
    <s v="France"/>
    <m/>
    <s v="Lyon"/>
    <n v="7.6"/>
    <n v="30"/>
  </r>
  <r>
    <s v="1084"/>
    <x v="64"/>
    <x v="284"/>
    <x v="0"/>
    <s v="Robert King"/>
    <s v="Ma Maison"/>
    <x v="0"/>
    <s v="France"/>
    <m/>
    <s v="Lyon"/>
    <n v="5.9"/>
    <n v="18"/>
  </r>
  <r>
    <s v="1084"/>
    <x v="64"/>
    <x v="284"/>
    <x v="39"/>
    <s v="Robert King"/>
    <s v="New Orleans Cajun Delights"/>
    <x v="0"/>
    <s v="France"/>
    <m/>
    <s v="Lyon"/>
    <n v="16.8"/>
    <n v="15"/>
  </r>
  <r>
    <s v="1084"/>
    <x v="64"/>
    <x v="284"/>
    <x v="16"/>
    <s v="Robert King"/>
    <s v="Plutzer Lebensmittelgroßmärkte AG"/>
    <x v="0"/>
    <s v="France"/>
    <m/>
    <s v="Lyon"/>
    <n v="10.4"/>
    <n v="7"/>
  </r>
  <r>
    <s v="1084"/>
    <x v="64"/>
    <x v="87"/>
    <x v="76"/>
    <s v="Michael Suyama"/>
    <s v="New England Seafood Cannery"/>
    <x v="0"/>
    <s v="France"/>
    <m/>
    <s v="Lyon"/>
    <n v="18.399999999999999"/>
    <n v="50"/>
  </r>
  <r>
    <s v="1084"/>
    <x v="64"/>
    <x v="92"/>
    <x v="28"/>
    <s v="Nancy Davolio"/>
    <s v="Pavlova, Ltd."/>
    <x v="1"/>
    <s v="France"/>
    <m/>
    <s v="Lyon"/>
    <n v="43.9"/>
    <n v="40"/>
  </r>
  <r>
    <s v="1084"/>
    <x v="64"/>
    <x v="354"/>
    <x v="41"/>
    <s v="Nancy Davolio"/>
    <s v="Refrescos Americanas LTDA"/>
    <x v="0"/>
    <s v="France"/>
    <m/>
    <s v="Lyon"/>
    <n v="3.6"/>
    <n v="25"/>
  </r>
  <r>
    <s v="1084"/>
    <x v="64"/>
    <x v="90"/>
    <x v="57"/>
    <s v="Janet Leverling"/>
    <s v="New England Seafood Cannery"/>
    <x v="1"/>
    <s v="France"/>
    <m/>
    <s v="Lyon"/>
    <n v="9.65"/>
    <n v="30"/>
  </r>
  <r>
    <s v="1084"/>
    <x v="64"/>
    <x v="281"/>
    <x v="66"/>
    <s v="Nancy Davolio"/>
    <s v="Exotic Liquids"/>
    <x v="0"/>
    <s v="France"/>
    <m/>
    <s v="Lyon"/>
    <n v="10"/>
    <n v="14"/>
  </r>
  <r>
    <s v="1084"/>
    <x v="64"/>
    <x v="355"/>
    <x v="16"/>
    <s v="Laura Callahan"/>
    <s v="Plutzer Lebensmittelgroßmärkte AG"/>
    <x v="0"/>
    <s v="France"/>
    <m/>
    <s v="Lyon"/>
    <n v="13"/>
    <n v="5"/>
  </r>
  <r>
    <s v="1084"/>
    <x v="64"/>
    <x v="281"/>
    <x v="36"/>
    <s v="Nancy Davolio"/>
    <s v="Grandma Kelly's Homestead"/>
    <x v="0"/>
    <s v="France"/>
    <m/>
    <s v="Lyon"/>
    <n v="30"/>
    <n v="10"/>
  </r>
  <r>
    <s v="1084"/>
    <x v="64"/>
    <x v="90"/>
    <x v="9"/>
    <s v="Janet Leverling"/>
    <s v="Forêts d'érables"/>
    <x v="1"/>
    <s v="France"/>
    <m/>
    <s v="Lyon"/>
    <n v="49.3"/>
    <n v="15"/>
  </r>
  <r>
    <s v="1084"/>
    <x v="64"/>
    <x v="281"/>
    <x v="0"/>
    <s v="Nancy Davolio"/>
    <s v="Ma Maison"/>
    <x v="0"/>
    <s v="France"/>
    <m/>
    <s v="Lyon"/>
    <n v="7.45"/>
    <n v="50"/>
  </r>
  <r>
    <s v="1084"/>
    <x v="64"/>
    <x v="259"/>
    <x v="17"/>
    <s v="Andrew Fuller"/>
    <s v="Gai pâturage"/>
    <x v="1"/>
    <s v="France"/>
    <m/>
    <s v="Lyon"/>
    <n v="55"/>
    <n v="18"/>
  </r>
  <r>
    <s v="1084"/>
    <x v="64"/>
    <x v="354"/>
    <x v="76"/>
    <s v="Nancy Davolio"/>
    <s v="New England Seafood Cannery"/>
    <x v="0"/>
    <s v="France"/>
    <m/>
    <s v="Lyon"/>
    <n v="14.7"/>
    <n v="20"/>
  </r>
  <r>
    <s v="1084"/>
    <x v="64"/>
    <x v="90"/>
    <x v="50"/>
    <s v="Janet Leverling"/>
    <s v="G'day, Mate"/>
    <x v="1"/>
    <s v="France"/>
    <m/>
    <s v="Lyon"/>
    <n v="7"/>
    <n v="15"/>
  </r>
  <r>
    <s v="1084"/>
    <x v="64"/>
    <x v="90"/>
    <x v="4"/>
    <s v="Janet Leverling"/>
    <s v="Forêts d'érables"/>
    <x v="1"/>
    <s v="France"/>
    <m/>
    <s v="Lyon"/>
    <n v="28.5"/>
    <n v="20"/>
  </r>
  <r>
    <s v="1084"/>
    <x v="64"/>
    <x v="354"/>
    <x v="37"/>
    <s v="Nancy Davolio"/>
    <s v="Plutzer Lebensmittelgroßmärkte AG"/>
    <x v="0"/>
    <s v="France"/>
    <m/>
    <s v="Lyon"/>
    <n v="99"/>
    <n v="18"/>
  </r>
  <r>
    <s v="1074"/>
    <x v="65"/>
    <x v="302"/>
    <x v="63"/>
    <s v="Margaret Peacock"/>
    <s v="Ma Maison"/>
    <x v="1"/>
    <s v="France"/>
    <m/>
    <s v="Paris"/>
    <n v="24"/>
    <n v="60"/>
  </r>
  <r>
    <s v="1074"/>
    <x v="65"/>
    <x v="302"/>
    <x v="34"/>
    <s v="Margaret Peacock"/>
    <s v="G'day, Mate"/>
    <x v="1"/>
    <s v="France"/>
    <m/>
    <s v="Paris"/>
    <n v="53"/>
    <n v="30"/>
  </r>
  <r>
    <s v="1074"/>
    <x v="65"/>
    <x v="159"/>
    <x v="4"/>
    <s v="Robert King"/>
    <s v="Forêts d'érables"/>
    <x v="0"/>
    <s v="France"/>
    <m/>
    <s v="Paris"/>
    <n v="28.5"/>
    <n v="20"/>
  </r>
  <r>
    <s v="1074"/>
    <x v="65"/>
    <x v="159"/>
    <x v="7"/>
    <s v="Robert King"/>
    <s v="Specialty Biscuits, Ltd."/>
    <x v="0"/>
    <s v="France"/>
    <m/>
    <s v="Paris"/>
    <n v="10"/>
    <n v="30"/>
  </r>
  <r>
    <s v="1074"/>
    <x v="65"/>
    <x v="135"/>
    <x v="32"/>
    <s v="Margaret Peacock"/>
    <s v="Specialty Biscuits, Ltd."/>
    <x v="0"/>
    <s v="France"/>
    <m/>
    <s v="Paris"/>
    <n v="10"/>
    <n v="36"/>
  </r>
  <r>
    <s v="1074"/>
    <x v="65"/>
    <x v="302"/>
    <x v="9"/>
    <s v="Margaret Peacock"/>
    <s v="Forêts d'érables"/>
    <x v="1"/>
    <s v="France"/>
    <m/>
    <s v="Paris"/>
    <n v="49.3"/>
    <n v="5"/>
  </r>
  <r>
    <s v="1074"/>
    <x v="65"/>
    <x v="302"/>
    <x v="33"/>
    <s v="Margaret Peacock"/>
    <s v="Nord-Ost-Fisch Handelsgesellschaft mbH"/>
    <x v="1"/>
    <s v="France"/>
    <m/>
    <s v="Paris"/>
    <n v="25.89"/>
    <n v="25"/>
  </r>
  <r>
    <s v="1074"/>
    <x v="65"/>
    <x v="303"/>
    <x v="19"/>
    <s v="Andrew Fuller"/>
    <s v="Svensk Sjöföda AB"/>
    <x v="0"/>
    <s v="France"/>
    <m/>
    <s v="Paris"/>
    <n v="19"/>
    <n v="30"/>
  </r>
  <r>
    <s v="1074"/>
    <x v="65"/>
    <x v="236"/>
    <x v="30"/>
    <s v="Andrew Fuller"/>
    <s v="Formaggi Fortini s.r.l."/>
    <x v="0"/>
    <s v="France"/>
    <m/>
    <s v="Paris"/>
    <n v="34.799999999999997"/>
    <n v="24"/>
  </r>
  <r>
    <s v="1074"/>
    <x v="65"/>
    <x v="135"/>
    <x v="26"/>
    <s v="Margaret Peacock"/>
    <s v="Lyngbysild"/>
    <x v="0"/>
    <s v="France"/>
    <m/>
    <s v="Paris"/>
    <n v="9.6"/>
    <n v="2"/>
  </r>
  <r>
    <s v="1074"/>
    <x v="65"/>
    <x v="135"/>
    <x v="16"/>
    <s v="Margaret Peacock"/>
    <s v="Plutzer Lebensmittelgroßmärkte AG"/>
    <x v="0"/>
    <s v="France"/>
    <m/>
    <s v="Paris"/>
    <n v="10.4"/>
    <n v="35"/>
  </r>
  <r>
    <s v="1074"/>
    <x v="65"/>
    <x v="61"/>
    <x v="1"/>
    <s v="Robert King"/>
    <s v="Pavlova, Ltd."/>
    <x v="1"/>
    <s v="France"/>
    <m/>
    <s v="Paris"/>
    <n v="17.45"/>
    <n v="14"/>
  </r>
  <r>
    <s v="1074"/>
    <x v="65"/>
    <x v="328"/>
    <x v="10"/>
    <s v="Robert King"/>
    <s v="Norske Meierier"/>
    <x v="0"/>
    <s v="France"/>
    <m/>
    <s v="Paris"/>
    <n v="2"/>
    <n v="8"/>
  </r>
  <r>
    <s v="1074"/>
    <x v="65"/>
    <x v="328"/>
    <x v="17"/>
    <s v="Robert King"/>
    <s v="Gai pâturage"/>
    <x v="0"/>
    <s v="France"/>
    <m/>
    <s v="Paris"/>
    <n v="44"/>
    <n v="9"/>
  </r>
  <r>
    <s v="1074"/>
    <x v="65"/>
    <x v="135"/>
    <x v="18"/>
    <s v="Margaret Peacock"/>
    <s v="Aux joyeux ecclésiastiques"/>
    <x v="0"/>
    <s v="France"/>
    <m/>
    <s v="Paris"/>
    <n v="210.8"/>
    <n v="50"/>
  </r>
  <r>
    <s v="1087"/>
    <x v="66"/>
    <x v="47"/>
    <x v="76"/>
    <s v="Laura Callahan"/>
    <s v="New England Seafood Cannery"/>
    <x v="0"/>
    <s v="Finland"/>
    <m/>
    <s v="Oulu"/>
    <n v="14.7"/>
    <n v="10"/>
  </r>
  <r>
    <s v="1087"/>
    <x v="66"/>
    <x v="47"/>
    <x v="22"/>
    <s v="Laura Callahan"/>
    <s v="Pasta Buttini s.r.l."/>
    <x v="0"/>
    <s v="Finland"/>
    <m/>
    <s v="Oulu"/>
    <n v="30.4"/>
    <n v="20"/>
  </r>
  <r>
    <s v="1087"/>
    <x v="66"/>
    <x v="348"/>
    <x v="31"/>
    <s v="Andrew Fuller"/>
    <s v="Plutzer Lebensmittelgroßmärkte AG"/>
    <x v="0"/>
    <s v="Finland"/>
    <m/>
    <s v="Oulu"/>
    <n v="36.4"/>
    <n v="4"/>
  </r>
  <r>
    <s v="1087"/>
    <x v="66"/>
    <x v="348"/>
    <x v="27"/>
    <s v="Andrew Fuller"/>
    <s v="Plutzer Lebensmittelgroßmärkte AG"/>
    <x v="0"/>
    <s v="Finland"/>
    <m/>
    <s v="Oulu"/>
    <n v="6.2"/>
    <n v="10"/>
  </r>
  <r>
    <s v="1087"/>
    <x v="66"/>
    <x v="348"/>
    <x v="6"/>
    <s v="Andrew Fuller"/>
    <s v="G'day, Mate"/>
    <x v="0"/>
    <s v="Finland"/>
    <m/>
    <s v="Oulu"/>
    <n v="26.2"/>
    <n v="20"/>
  </r>
  <r>
    <s v="1087"/>
    <x v="66"/>
    <x v="348"/>
    <x v="38"/>
    <s v="Andrew Fuller"/>
    <s v="Leka Trading"/>
    <x v="0"/>
    <s v="Finland"/>
    <m/>
    <s v="Oulu"/>
    <n v="36.799999999999997"/>
    <n v="24"/>
  </r>
  <r>
    <s v="1087"/>
    <x v="66"/>
    <x v="113"/>
    <x v="13"/>
    <s v="Laura Callahan"/>
    <s v="Bigfoot Breweries"/>
    <x v="1"/>
    <s v="Finland"/>
    <m/>
    <s v="Oulu"/>
    <n v="18"/>
    <n v="18"/>
  </r>
  <r>
    <s v="1087"/>
    <x v="66"/>
    <x v="353"/>
    <x v="7"/>
    <s v="Robert King"/>
    <s v="Specialty Biscuits, Ltd."/>
    <x v="0"/>
    <s v="Finland"/>
    <m/>
    <s v="Oulu"/>
    <n v="10"/>
    <n v="40"/>
  </r>
  <r>
    <s v="1087"/>
    <x v="66"/>
    <x v="176"/>
    <x v="23"/>
    <s v="Laura Callahan"/>
    <s v="Specialty Biscuits, Ltd."/>
    <x v="0"/>
    <s v="Finland"/>
    <m/>
    <s v="Oulu"/>
    <n v="9.1999999999999993"/>
    <n v="12"/>
  </r>
  <r>
    <s v="1087"/>
    <x v="66"/>
    <x v="134"/>
    <x v="63"/>
    <s v="Michael Suyama"/>
    <s v="Ma Maison"/>
    <x v="0"/>
    <s v="Finland"/>
    <m/>
    <s v="Oulu"/>
    <n v="19.2"/>
    <n v="12"/>
  </r>
  <r>
    <s v="1087"/>
    <x v="66"/>
    <x v="310"/>
    <x v="8"/>
    <s v="Laura Callahan"/>
    <s v="Exotic Liquids"/>
    <x v="0"/>
    <s v="Finland"/>
    <m/>
    <s v="Oulu"/>
    <n v="19"/>
    <n v="30"/>
  </r>
  <r>
    <s v="1087"/>
    <x v="66"/>
    <x v="134"/>
    <x v="60"/>
    <s v="Michael Suyama"/>
    <s v="Formaggi Fortini s.r.l."/>
    <x v="0"/>
    <s v="Finland"/>
    <m/>
    <s v="Oulu"/>
    <n v="10"/>
    <n v="30"/>
  </r>
  <r>
    <s v="1087"/>
    <x v="66"/>
    <x v="310"/>
    <x v="10"/>
    <s v="Laura Callahan"/>
    <s v="Norske Meierier"/>
    <x v="0"/>
    <s v="Finland"/>
    <m/>
    <s v="Oulu"/>
    <n v="2.5"/>
    <n v="20"/>
  </r>
  <r>
    <s v="1087"/>
    <x v="66"/>
    <x v="353"/>
    <x v="61"/>
    <s v="Robert King"/>
    <s v="Formaggi Fortini s.r.l."/>
    <x v="0"/>
    <s v="Finland"/>
    <m/>
    <s v="Oulu"/>
    <n v="32"/>
    <n v="50"/>
  </r>
  <r>
    <s v="1087"/>
    <x v="66"/>
    <x v="113"/>
    <x v="61"/>
    <s v="Laura Callahan"/>
    <s v="Formaggi Fortini s.r.l."/>
    <x v="1"/>
    <s v="Finland"/>
    <m/>
    <s v="Oulu"/>
    <n v="32"/>
    <n v="15"/>
  </r>
  <r>
    <s v="1087"/>
    <x v="66"/>
    <x v="134"/>
    <x v="12"/>
    <s v="Michael Suyama"/>
    <s v="Norske Meierier"/>
    <x v="0"/>
    <s v="Finland"/>
    <m/>
    <s v="Oulu"/>
    <n v="28.8"/>
    <n v="20"/>
  </r>
  <r>
    <s v="1087"/>
    <x v="66"/>
    <x v="356"/>
    <x v="12"/>
    <s v="Margaret Peacock"/>
    <s v="Norske Meierier"/>
    <x v="0"/>
    <s v="Finland"/>
    <m/>
    <s v="Oulu"/>
    <n v="36"/>
    <n v="20"/>
  </r>
  <r>
    <s v="1087"/>
    <x v="66"/>
    <x v="356"/>
    <x v="47"/>
    <s v="Margaret Peacock"/>
    <s v="Pavlova, Ltd."/>
    <x v="0"/>
    <s v="Finland"/>
    <m/>
    <s v="Oulu"/>
    <n v="15"/>
    <n v="15"/>
  </r>
  <r>
    <s v="1087"/>
    <x v="66"/>
    <x v="303"/>
    <x v="62"/>
    <s v="Nancy Davolio"/>
    <s v="Plutzer Lebensmittelgroßmärkte AG"/>
    <x v="0"/>
    <s v="Finland"/>
    <m/>
    <s v="Oulu"/>
    <n v="33.25"/>
    <n v="15"/>
  </r>
  <r>
    <s v="1087"/>
    <x v="66"/>
    <x v="303"/>
    <x v="63"/>
    <s v="Nancy Davolio"/>
    <s v="Ma Maison"/>
    <x v="0"/>
    <s v="Finland"/>
    <m/>
    <s v="Oulu"/>
    <n v="24"/>
    <n v="4"/>
  </r>
  <r>
    <s v="1087"/>
    <x v="66"/>
    <x v="303"/>
    <x v="60"/>
    <s v="Nancy Davolio"/>
    <s v="Formaggi Fortini s.r.l."/>
    <x v="0"/>
    <s v="Finland"/>
    <m/>
    <s v="Oulu"/>
    <n v="12.5"/>
    <n v="8"/>
  </r>
  <r>
    <s v="1087"/>
    <x v="66"/>
    <x v="203"/>
    <x v="46"/>
    <s v="Margaret Peacock"/>
    <s v="Exotic Liquids"/>
    <x v="0"/>
    <s v="Finland"/>
    <m/>
    <s v="Oulu"/>
    <n v="14.4"/>
    <n v="15"/>
  </r>
  <r>
    <s v="1087"/>
    <x v="66"/>
    <x v="203"/>
    <x v="55"/>
    <s v="Margaret Peacock"/>
    <s v="PB Knäckebröd AB"/>
    <x v="0"/>
    <s v="Finland"/>
    <m/>
    <s v="Oulu"/>
    <n v="7.2"/>
    <n v="25"/>
  </r>
  <r>
    <s v="1087"/>
    <x v="66"/>
    <x v="113"/>
    <x v="69"/>
    <s v="Laura Callahan"/>
    <s v="Las Cabras"/>
    <x v="1"/>
    <s v="Finland"/>
    <m/>
    <s v="Oulu"/>
    <n v="38"/>
    <n v="20"/>
  </r>
  <r>
    <s v="1087"/>
    <x v="66"/>
    <x v="176"/>
    <x v="48"/>
    <s v="Laura Callahan"/>
    <s v="PB Knäckebröd AB"/>
    <x v="0"/>
    <s v="Finland"/>
    <m/>
    <s v="Oulu"/>
    <n v="21"/>
    <n v="20"/>
  </r>
  <r>
    <s v="1087"/>
    <x v="66"/>
    <x v="353"/>
    <x v="4"/>
    <s v="Robert King"/>
    <s v="Forêts d'érables"/>
    <x v="0"/>
    <s v="Finland"/>
    <m/>
    <s v="Oulu"/>
    <n v="28.5"/>
    <n v="15"/>
  </r>
  <r>
    <s v="1019"/>
    <x v="67"/>
    <x v="357"/>
    <x v="46"/>
    <s v="Robert King"/>
    <s v="Exotic Liquids"/>
    <x v="0"/>
    <s v="UK"/>
    <m/>
    <s v="London"/>
    <n v="18"/>
    <n v="3"/>
  </r>
  <r>
    <s v="1019"/>
    <x v="67"/>
    <x v="291"/>
    <x v="45"/>
    <s v="Nancy Davolio"/>
    <s v="Leka Trading"/>
    <x v="0"/>
    <s v="UK"/>
    <m/>
    <s v="London"/>
    <n v="11.2"/>
    <n v="6"/>
  </r>
  <r>
    <s v="1019"/>
    <x v="67"/>
    <x v="357"/>
    <x v="43"/>
    <s v="Robert King"/>
    <s v="Tokyo Traders"/>
    <x v="0"/>
    <s v="UK"/>
    <m/>
    <s v="London"/>
    <n v="31"/>
    <n v="10"/>
  </r>
  <r>
    <s v="1019"/>
    <x v="67"/>
    <x v="357"/>
    <x v="7"/>
    <s v="Robert King"/>
    <s v="Specialty Biscuits, Ltd."/>
    <x v="0"/>
    <s v="UK"/>
    <m/>
    <s v="London"/>
    <n v="10"/>
    <n v="6"/>
  </r>
  <r>
    <s v="1019"/>
    <x v="67"/>
    <x v="60"/>
    <x v="20"/>
    <s v="Robert King"/>
    <s v="Bigfoot Breweries"/>
    <x v="1"/>
    <s v="UK"/>
    <m/>
    <s v="London"/>
    <n v="14"/>
    <n v="10"/>
  </r>
  <r>
    <s v="1019"/>
    <x v="67"/>
    <x v="60"/>
    <x v="57"/>
    <s v="Robert King"/>
    <s v="New England Seafood Cannery"/>
    <x v="1"/>
    <s v="UK"/>
    <m/>
    <s v="London"/>
    <n v="9.65"/>
    <n v="14"/>
  </r>
  <r>
    <s v="1019"/>
    <x v="67"/>
    <x v="55"/>
    <x v="50"/>
    <s v="Andrew Fuller"/>
    <s v="G'day, Mate"/>
    <x v="0"/>
    <s v="UK"/>
    <m/>
    <s v="London"/>
    <n v="7"/>
    <n v="9"/>
  </r>
  <r>
    <s v="1019"/>
    <x v="67"/>
    <x v="60"/>
    <x v="15"/>
    <s v="Robert King"/>
    <s v="Pavlova, Ltd."/>
    <x v="1"/>
    <s v="UK"/>
    <m/>
    <s v="London"/>
    <n v="39"/>
    <n v="15"/>
  </r>
  <r>
    <s v="1019"/>
    <x v="67"/>
    <x v="291"/>
    <x v="12"/>
    <s v="Nancy Davolio"/>
    <s v="Norske Meierier"/>
    <x v="0"/>
    <s v="UK"/>
    <m/>
    <s v="London"/>
    <n v="28.8"/>
    <n v="7"/>
  </r>
  <r>
    <s v="1072"/>
    <x v="68"/>
    <x v="346"/>
    <x v="19"/>
    <s v="Nancy Davolio"/>
    <s v="Svensk Sjöföda AB"/>
    <x v="1"/>
    <s v="UK"/>
    <m/>
    <s v="London"/>
    <n v="19"/>
    <n v="40"/>
  </r>
  <r>
    <s v="1072"/>
    <x v="68"/>
    <x v="21"/>
    <x v="13"/>
    <s v="Anne Dodsworth"/>
    <s v="Bigfoot Breweries"/>
    <x v="0"/>
    <s v="UK"/>
    <m/>
    <s v="London"/>
    <n v="14.4"/>
    <n v="70"/>
  </r>
  <r>
    <s v="1072"/>
    <x v="68"/>
    <x v="199"/>
    <x v="54"/>
    <s v="Nancy Davolio"/>
    <s v="Mayumi's"/>
    <x v="1"/>
    <s v="UK"/>
    <m/>
    <s v="London"/>
    <n v="6"/>
    <n v="28"/>
  </r>
  <r>
    <s v="1072"/>
    <x v="68"/>
    <x v="199"/>
    <x v="12"/>
    <s v="Nancy Davolio"/>
    <s v="Norske Meierier"/>
    <x v="1"/>
    <s v="UK"/>
    <m/>
    <s v="London"/>
    <n v="36"/>
    <n v="50"/>
  </r>
  <r>
    <s v="1072"/>
    <x v="68"/>
    <x v="21"/>
    <x v="1"/>
    <s v="Anne Dodsworth"/>
    <s v="Pavlova, Ltd."/>
    <x v="0"/>
    <s v="UK"/>
    <m/>
    <s v="London"/>
    <n v="13.9"/>
    <n v="21"/>
  </r>
  <r>
    <s v="1072"/>
    <x v="68"/>
    <x v="21"/>
    <x v="26"/>
    <s v="Anne Dodsworth"/>
    <s v="Lyngbysild"/>
    <x v="0"/>
    <s v="UK"/>
    <m/>
    <s v="London"/>
    <n v="9.6"/>
    <n v="30"/>
  </r>
  <r>
    <s v="1072"/>
    <x v="68"/>
    <x v="199"/>
    <x v="27"/>
    <s v="Nancy Davolio"/>
    <s v="Plutzer Lebensmittelgroßmärkte AG"/>
    <x v="1"/>
    <s v="UK"/>
    <m/>
    <s v="London"/>
    <n v="7.75"/>
    <n v="120"/>
  </r>
  <r>
    <s v="1072"/>
    <x v="68"/>
    <x v="21"/>
    <x v="28"/>
    <s v="Anne Dodsworth"/>
    <s v="Pavlova, Ltd."/>
    <x v="0"/>
    <s v="UK"/>
    <m/>
    <s v="London"/>
    <n v="35.1"/>
    <n v="80"/>
  </r>
  <r>
    <s v="1072"/>
    <x v="68"/>
    <x v="346"/>
    <x v="41"/>
    <s v="Nancy Davolio"/>
    <s v="Refrescos Americanas LTDA"/>
    <x v="1"/>
    <s v="UK"/>
    <m/>
    <s v="London"/>
    <n v="4.5"/>
    <n v="20"/>
  </r>
  <r>
    <s v="1072"/>
    <x v="68"/>
    <x v="346"/>
    <x v="1"/>
    <s v="Nancy Davolio"/>
    <s v="Pavlova, Ltd."/>
    <x v="1"/>
    <s v="UK"/>
    <m/>
    <s v="London"/>
    <n v="17.45"/>
    <n v="55"/>
  </r>
  <r>
    <s v="1072"/>
    <x v="68"/>
    <x v="358"/>
    <x v="31"/>
    <s v="Laura Callahan"/>
    <s v="Plutzer Lebensmittelgroßmärkte AG"/>
    <x v="0"/>
    <s v="UK"/>
    <m/>
    <s v="London"/>
    <n v="36.4"/>
    <n v="15"/>
  </r>
  <r>
    <s v="1072"/>
    <x v="68"/>
    <x v="359"/>
    <x v="40"/>
    <s v="Nancy Davolio"/>
    <s v="Karkki Oy"/>
    <x v="0"/>
    <s v="UK"/>
    <m/>
    <s v="London"/>
    <n v="18"/>
    <n v="80"/>
  </r>
  <r>
    <s v="1072"/>
    <x v="68"/>
    <x v="359"/>
    <x v="35"/>
    <s v="Nancy Davolio"/>
    <s v="Gai pâturage"/>
    <x v="0"/>
    <s v="UK"/>
    <m/>
    <s v="London"/>
    <n v="34"/>
    <n v="40"/>
  </r>
  <r>
    <s v="1072"/>
    <x v="68"/>
    <x v="359"/>
    <x v="49"/>
    <s v="Nancy Davolio"/>
    <s v="Karkki Oy"/>
    <x v="0"/>
    <s v="UK"/>
    <m/>
    <s v="London"/>
    <n v="20"/>
    <n v="18"/>
  </r>
  <r>
    <s v="1072"/>
    <x v="68"/>
    <x v="359"/>
    <x v="19"/>
    <s v="Nancy Davolio"/>
    <s v="Svensk Sjöföda AB"/>
    <x v="0"/>
    <s v="UK"/>
    <m/>
    <s v="London"/>
    <n v="19"/>
    <n v="55"/>
  </r>
  <r>
    <s v="1072"/>
    <x v="68"/>
    <x v="359"/>
    <x v="43"/>
    <s v="Nancy Davolio"/>
    <s v="Tokyo Traders"/>
    <x v="0"/>
    <s v="UK"/>
    <m/>
    <s v="London"/>
    <n v="31"/>
    <n v="70"/>
  </r>
  <r>
    <s v="1072"/>
    <x v="68"/>
    <x v="21"/>
    <x v="17"/>
    <s v="Anne Dodsworth"/>
    <s v="Gai pâturage"/>
    <x v="0"/>
    <s v="UK"/>
    <m/>
    <s v="London"/>
    <n v="44"/>
    <n v="40"/>
  </r>
  <r>
    <s v="1072"/>
    <x v="68"/>
    <x v="64"/>
    <x v="52"/>
    <s v="Nancy Davolio"/>
    <s v="Heli Süßwaren GmbH &amp; Co. KG"/>
    <x v="0"/>
    <s v="UK"/>
    <m/>
    <s v="London"/>
    <n v="11.2"/>
    <n v="7"/>
  </r>
  <r>
    <s v="1072"/>
    <x v="68"/>
    <x v="358"/>
    <x v="29"/>
    <s v="Laura Callahan"/>
    <s v="Leka Trading"/>
    <x v="0"/>
    <s v="UK"/>
    <m/>
    <s v="London"/>
    <n v="15.5"/>
    <n v="100"/>
  </r>
  <r>
    <s v="1072"/>
    <x v="68"/>
    <x v="9"/>
    <x v="15"/>
    <s v="Nancy Davolio"/>
    <s v="Pavlova, Ltd."/>
    <x v="1"/>
    <s v="UK"/>
    <m/>
    <s v="London"/>
    <n v="39"/>
    <n v="77"/>
  </r>
  <r>
    <s v="1072"/>
    <x v="68"/>
    <x v="26"/>
    <x v="48"/>
    <s v="Laura Callahan"/>
    <s v="PB Knäckebröd AB"/>
    <x v="0"/>
    <s v="UK"/>
    <m/>
    <s v="London"/>
    <n v="21"/>
    <n v="48"/>
  </r>
  <r>
    <s v="1072"/>
    <x v="68"/>
    <x v="37"/>
    <x v="10"/>
    <s v="Andrew Fuller"/>
    <s v="Norske Meierier"/>
    <x v="1"/>
    <s v="UK"/>
    <m/>
    <s v="London"/>
    <n v="2.5"/>
    <n v="16"/>
  </r>
  <r>
    <s v="1072"/>
    <x v="68"/>
    <x v="26"/>
    <x v="49"/>
    <s v="Laura Callahan"/>
    <s v="Karkki Oy"/>
    <x v="0"/>
    <s v="UK"/>
    <m/>
    <s v="London"/>
    <n v="20"/>
    <n v="25"/>
  </r>
  <r>
    <s v="1072"/>
    <x v="68"/>
    <x v="255"/>
    <x v="8"/>
    <s v="Laura Callahan"/>
    <s v="Exotic Liquids"/>
    <x v="0"/>
    <s v="UK"/>
    <m/>
    <s v="London"/>
    <n v="19"/>
    <n v="3"/>
  </r>
  <r>
    <s v="1072"/>
    <x v="68"/>
    <x v="255"/>
    <x v="60"/>
    <s v="Laura Callahan"/>
    <s v="Formaggi Fortini s.r.l."/>
    <x v="0"/>
    <s v="UK"/>
    <m/>
    <s v="London"/>
    <n v="12.5"/>
    <n v="50"/>
  </r>
  <r>
    <s v="1072"/>
    <x v="68"/>
    <x v="255"/>
    <x v="32"/>
    <s v="Laura Callahan"/>
    <s v="Specialty Biscuits, Ltd."/>
    <x v="0"/>
    <s v="UK"/>
    <m/>
    <s v="London"/>
    <n v="12.5"/>
    <n v="45"/>
  </r>
  <r>
    <s v="1072"/>
    <x v="68"/>
    <x v="255"/>
    <x v="27"/>
    <s v="Laura Callahan"/>
    <s v="Plutzer Lebensmittelgroßmärkte AG"/>
    <x v="0"/>
    <s v="UK"/>
    <m/>
    <s v="London"/>
    <n v="7.75"/>
    <n v="42"/>
  </r>
  <r>
    <s v="1072"/>
    <x v="68"/>
    <x v="9"/>
    <x v="32"/>
    <s v="Nancy Davolio"/>
    <s v="Specialty Biscuits, Ltd."/>
    <x v="1"/>
    <s v="UK"/>
    <m/>
    <s v="London"/>
    <n v="12.5"/>
    <n v="55"/>
  </r>
  <r>
    <s v="1072"/>
    <x v="68"/>
    <x v="64"/>
    <x v="5"/>
    <s v="Nancy Davolio"/>
    <s v="Heli Süßwaren GmbH &amp; Co. KG"/>
    <x v="0"/>
    <s v="UK"/>
    <m/>
    <s v="London"/>
    <n v="24.9"/>
    <n v="70"/>
  </r>
  <r>
    <s v="1072"/>
    <x v="68"/>
    <x v="229"/>
    <x v="24"/>
    <s v="Laura Callahan"/>
    <s v="Svensk Sjöföda AB"/>
    <x v="0"/>
    <s v="UK"/>
    <m/>
    <s v="London"/>
    <n v="15"/>
    <n v="35"/>
  </r>
  <r>
    <s v="1072"/>
    <x v="68"/>
    <x v="64"/>
    <x v="68"/>
    <s v="Nancy Davolio"/>
    <s v="Mayumi's"/>
    <x v="0"/>
    <s v="UK"/>
    <m/>
    <s v="London"/>
    <n v="18.600000000000001"/>
    <n v="42"/>
  </r>
  <r>
    <s v="1072"/>
    <x v="68"/>
    <x v="64"/>
    <x v="8"/>
    <s v="Nancy Davolio"/>
    <s v="Exotic Liquids"/>
    <x v="0"/>
    <s v="UK"/>
    <m/>
    <s v="London"/>
    <n v="15.2"/>
    <n v="25"/>
  </r>
  <r>
    <s v="1072"/>
    <x v="68"/>
    <x v="229"/>
    <x v="9"/>
    <s v="Laura Callahan"/>
    <s v="Forêts d'érables"/>
    <x v="0"/>
    <s v="UK"/>
    <m/>
    <s v="London"/>
    <n v="49.3"/>
    <n v="15"/>
  </r>
  <r>
    <s v="1072"/>
    <x v="68"/>
    <x v="9"/>
    <x v="57"/>
    <s v="Nancy Davolio"/>
    <s v="New England Seafood Cannery"/>
    <x v="1"/>
    <s v="UK"/>
    <m/>
    <s v="London"/>
    <n v="9.65"/>
    <n v="12"/>
  </r>
  <r>
    <s v="1072"/>
    <x v="68"/>
    <x v="9"/>
    <x v="6"/>
    <s v="Nancy Davolio"/>
    <s v="G'day, Mate"/>
    <x v="1"/>
    <s v="UK"/>
    <m/>
    <s v="London"/>
    <n v="32.799999999999997"/>
    <n v="25"/>
  </r>
  <r>
    <s v="1072"/>
    <x v="68"/>
    <x v="360"/>
    <x v="26"/>
    <s v="Nancy Davolio"/>
    <s v="Lyngbysild"/>
    <x v="0"/>
    <s v="UK"/>
    <m/>
    <s v="London"/>
    <n v="12"/>
    <n v="24"/>
  </r>
  <r>
    <s v="1072"/>
    <x v="68"/>
    <x v="360"/>
    <x v="21"/>
    <s v="Nancy Davolio"/>
    <s v="Lyngbysild"/>
    <x v="0"/>
    <s v="UK"/>
    <m/>
    <s v="London"/>
    <n v="9.5"/>
    <n v="110"/>
  </r>
  <r>
    <s v="1072"/>
    <x v="68"/>
    <x v="360"/>
    <x v="5"/>
    <s v="Nancy Davolio"/>
    <s v="Heli Süßwaren GmbH &amp; Co. KG"/>
    <x v="0"/>
    <s v="UK"/>
    <m/>
    <s v="London"/>
    <n v="31.23"/>
    <n v="30"/>
  </r>
  <r>
    <s v="1072"/>
    <x v="68"/>
    <x v="360"/>
    <x v="43"/>
    <s v="Nancy Davolio"/>
    <s v="Tokyo Traders"/>
    <x v="0"/>
    <s v="UK"/>
    <m/>
    <s v="London"/>
    <n v="31"/>
    <n v="18"/>
  </r>
  <r>
    <s v="1072"/>
    <x v="68"/>
    <x v="9"/>
    <x v="63"/>
    <s v="Nancy Davolio"/>
    <s v="Ma Maison"/>
    <x v="1"/>
    <s v="UK"/>
    <m/>
    <s v="London"/>
    <n v="24"/>
    <n v="4"/>
  </r>
  <r>
    <s v="1072"/>
    <x v="68"/>
    <x v="64"/>
    <x v="60"/>
    <s v="Nancy Davolio"/>
    <s v="Formaggi Fortini s.r.l."/>
    <x v="0"/>
    <s v="UK"/>
    <m/>
    <s v="London"/>
    <n v="10"/>
    <n v="32"/>
  </r>
  <r>
    <s v="1072"/>
    <x v="68"/>
    <x v="189"/>
    <x v="8"/>
    <s v="Margaret Peacock"/>
    <s v="Exotic Liquids"/>
    <x v="0"/>
    <s v="UK"/>
    <m/>
    <s v="London"/>
    <n v="15.2"/>
    <n v="45"/>
  </r>
  <r>
    <s v="1072"/>
    <x v="68"/>
    <x v="170"/>
    <x v="54"/>
    <s v="Andrew Fuller"/>
    <s v="Mayumi's"/>
    <x v="1"/>
    <s v="UK"/>
    <m/>
    <s v="London"/>
    <n v="6"/>
    <n v="84"/>
  </r>
  <r>
    <s v="1072"/>
    <x v="68"/>
    <x v="14"/>
    <x v="20"/>
    <s v="Michael Suyama"/>
    <s v="Bigfoot Breweries"/>
    <x v="1"/>
    <s v="UK"/>
    <m/>
    <s v="London"/>
    <n v="14"/>
    <n v="30"/>
  </r>
  <r>
    <s v="1072"/>
    <x v="68"/>
    <x v="14"/>
    <x v="17"/>
    <s v="Michael Suyama"/>
    <s v="Gai pâturage"/>
    <x v="1"/>
    <s v="UK"/>
    <m/>
    <s v="London"/>
    <n v="55"/>
    <n v="7"/>
  </r>
  <r>
    <s v="1072"/>
    <x v="68"/>
    <x v="14"/>
    <x v="9"/>
    <s v="Michael Suyama"/>
    <s v="Forêts d'érables"/>
    <x v="1"/>
    <s v="UK"/>
    <m/>
    <s v="London"/>
    <n v="49.3"/>
    <n v="30"/>
  </r>
  <r>
    <s v="1072"/>
    <x v="68"/>
    <x v="14"/>
    <x v="62"/>
    <s v="Michael Suyama"/>
    <s v="Plutzer Lebensmittelgroßmärkte AG"/>
    <x v="1"/>
    <s v="UK"/>
    <m/>
    <s v="London"/>
    <n v="33.25"/>
    <n v="24"/>
  </r>
  <r>
    <s v="1072"/>
    <x v="68"/>
    <x v="329"/>
    <x v="37"/>
    <s v="Michael Suyama"/>
    <s v="Plutzer Lebensmittelgroßmärkte AG"/>
    <x v="0"/>
    <s v="UK"/>
    <m/>
    <s v="London"/>
    <n v="123.79"/>
    <n v="36"/>
  </r>
  <r>
    <s v="1072"/>
    <x v="68"/>
    <x v="329"/>
    <x v="27"/>
    <s v="Michael Suyama"/>
    <s v="Plutzer Lebensmittelgroßmärkte AG"/>
    <x v="0"/>
    <s v="UK"/>
    <m/>
    <s v="London"/>
    <n v="7.75"/>
    <n v="36"/>
  </r>
  <r>
    <s v="1072"/>
    <x v="68"/>
    <x v="361"/>
    <x v="68"/>
    <s v="Michael Suyama"/>
    <s v="Mayumi's"/>
    <x v="0"/>
    <s v="UK"/>
    <m/>
    <s v="London"/>
    <n v="23.25"/>
    <n v="30"/>
  </r>
  <r>
    <s v="1072"/>
    <x v="68"/>
    <x v="245"/>
    <x v="35"/>
    <s v="Margaret Peacock"/>
    <s v="Gai pâturage"/>
    <x v="1"/>
    <s v="UK"/>
    <m/>
    <s v="London"/>
    <n v="34"/>
    <n v="45"/>
  </r>
  <r>
    <s v="1072"/>
    <x v="68"/>
    <x v="189"/>
    <x v="4"/>
    <s v="Margaret Peacock"/>
    <s v="Forêts d'érables"/>
    <x v="0"/>
    <s v="UK"/>
    <m/>
    <s v="London"/>
    <n v="22.8"/>
    <n v="90"/>
  </r>
  <r>
    <s v="1072"/>
    <x v="68"/>
    <x v="189"/>
    <x v="1"/>
    <s v="Margaret Peacock"/>
    <s v="Pavlova, Ltd."/>
    <x v="0"/>
    <s v="UK"/>
    <m/>
    <s v="London"/>
    <n v="13.9"/>
    <n v="49"/>
  </r>
  <r>
    <s v="1072"/>
    <x v="68"/>
    <x v="361"/>
    <x v="41"/>
    <s v="Michael Suyama"/>
    <s v="Refrescos Americanas LTDA"/>
    <x v="0"/>
    <s v="UK"/>
    <m/>
    <s v="London"/>
    <n v="4.5"/>
    <n v="18"/>
  </r>
  <r>
    <s v="1072"/>
    <x v="68"/>
    <x v="63"/>
    <x v="45"/>
    <s v="Margaret Peacock"/>
    <s v="Leka Trading"/>
    <x v="1"/>
    <s v="UK"/>
    <m/>
    <s v="London"/>
    <n v="14"/>
    <n v="24"/>
  </r>
  <r>
    <s v="1072"/>
    <x v="68"/>
    <x v="361"/>
    <x v="22"/>
    <s v="Michael Suyama"/>
    <s v="Pasta Buttini s.r.l."/>
    <x v="0"/>
    <s v="UK"/>
    <m/>
    <s v="London"/>
    <n v="38"/>
    <n v="40"/>
  </r>
  <r>
    <s v="1072"/>
    <x v="68"/>
    <x v="63"/>
    <x v="13"/>
    <s v="Margaret Peacock"/>
    <s v="Bigfoot Breweries"/>
    <x v="1"/>
    <s v="UK"/>
    <m/>
    <s v="London"/>
    <n v="18"/>
    <n v="15"/>
  </r>
  <r>
    <s v="1072"/>
    <x v="68"/>
    <x v="317"/>
    <x v="22"/>
    <s v="Janet Leverling"/>
    <s v="Pasta Buttini s.r.l."/>
    <x v="1"/>
    <s v="UK"/>
    <m/>
    <s v="London"/>
    <n v="38"/>
    <n v="28"/>
  </r>
  <r>
    <s v="1072"/>
    <x v="68"/>
    <x v="317"/>
    <x v="76"/>
    <s v="Janet Leverling"/>
    <s v="New England Seafood Cannery"/>
    <x v="1"/>
    <s v="UK"/>
    <m/>
    <s v="London"/>
    <n v="18.399999999999999"/>
    <n v="40"/>
  </r>
  <r>
    <s v="1072"/>
    <x v="68"/>
    <x v="317"/>
    <x v="55"/>
    <s v="Janet Leverling"/>
    <s v="PB Knäckebröd AB"/>
    <x v="1"/>
    <s v="UK"/>
    <m/>
    <s v="London"/>
    <n v="9"/>
    <n v="44"/>
  </r>
  <r>
    <s v="1072"/>
    <x v="68"/>
    <x v="57"/>
    <x v="51"/>
    <s v="Janet Leverling"/>
    <s v="Norske Meierier"/>
    <x v="0"/>
    <s v="UK"/>
    <m/>
    <s v="London"/>
    <n v="21.5"/>
    <n v="60"/>
  </r>
  <r>
    <s v="1072"/>
    <x v="68"/>
    <x v="57"/>
    <x v="32"/>
    <s v="Janet Leverling"/>
    <s v="Specialty Biscuits, Ltd."/>
    <x v="0"/>
    <s v="UK"/>
    <m/>
    <s v="London"/>
    <n v="12.5"/>
    <n v="40"/>
  </r>
  <r>
    <s v="1072"/>
    <x v="68"/>
    <x v="57"/>
    <x v="20"/>
    <s v="Janet Leverling"/>
    <s v="Bigfoot Breweries"/>
    <x v="0"/>
    <s v="UK"/>
    <m/>
    <s v="London"/>
    <n v="14"/>
    <n v="12"/>
  </r>
  <r>
    <s v="1072"/>
    <x v="68"/>
    <x v="57"/>
    <x v="46"/>
    <s v="Janet Leverling"/>
    <s v="Exotic Liquids"/>
    <x v="0"/>
    <s v="UK"/>
    <m/>
    <s v="London"/>
    <n v="18"/>
    <n v="5"/>
  </r>
  <r>
    <s v="1072"/>
    <x v="68"/>
    <x v="8"/>
    <x v="8"/>
    <s v="Robert King"/>
    <s v="Exotic Liquids"/>
    <x v="1"/>
    <s v="UK"/>
    <m/>
    <s v="London"/>
    <n v="19"/>
    <n v="100"/>
  </r>
  <r>
    <s v="1072"/>
    <x v="68"/>
    <x v="8"/>
    <x v="64"/>
    <s v="Robert King"/>
    <s v="New Orleans Cajun Delights"/>
    <x v="1"/>
    <s v="UK"/>
    <m/>
    <s v="London"/>
    <n v="21.35"/>
    <n v="70"/>
  </r>
  <r>
    <s v="1072"/>
    <x v="68"/>
    <x v="8"/>
    <x v="37"/>
    <s v="Robert King"/>
    <s v="Plutzer Lebensmittelgroßmärkte AG"/>
    <x v="1"/>
    <s v="UK"/>
    <m/>
    <s v="London"/>
    <n v="123.79"/>
    <n v="60"/>
  </r>
  <r>
    <s v="1072"/>
    <x v="68"/>
    <x v="8"/>
    <x v="17"/>
    <s v="Robert King"/>
    <s v="Gai pâturage"/>
    <x v="1"/>
    <s v="UK"/>
    <m/>
    <s v="London"/>
    <n v="55"/>
    <n v="100"/>
  </r>
  <r>
    <s v="1072"/>
    <x v="68"/>
    <x v="170"/>
    <x v="53"/>
    <s v="Andrew Fuller"/>
    <s v="Pasta Buttini s.r.l."/>
    <x v="1"/>
    <s v="UK"/>
    <m/>
    <s v="London"/>
    <n v="19.5"/>
    <n v="15"/>
  </r>
  <r>
    <s v="1072"/>
    <x v="68"/>
    <x v="361"/>
    <x v="34"/>
    <s v="Michael Suyama"/>
    <s v="G'day, Mate"/>
    <x v="0"/>
    <s v="UK"/>
    <m/>
    <s v="London"/>
    <n v="53"/>
    <n v="20"/>
  </r>
  <r>
    <s v="1072"/>
    <x v="68"/>
    <x v="140"/>
    <x v="23"/>
    <s v="Steven Buchanan"/>
    <s v="Specialty Biscuits, Ltd."/>
    <x v="0"/>
    <s v="UK"/>
    <m/>
    <s v="London"/>
    <n v="9.1999999999999993"/>
    <n v="12"/>
  </r>
  <r>
    <s v="1072"/>
    <x v="68"/>
    <x v="245"/>
    <x v="21"/>
    <s v="Margaret Peacock"/>
    <s v="Lyngbysild"/>
    <x v="1"/>
    <s v="UK"/>
    <m/>
    <s v="London"/>
    <n v="9.5"/>
    <n v="36"/>
  </r>
  <r>
    <s v="1072"/>
    <x v="68"/>
    <x v="245"/>
    <x v="58"/>
    <s v="Margaret Peacock"/>
    <s v="Svensk Sjöföda AB"/>
    <x v="1"/>
    <s v="UK"/>
    <m/>
    <s v="London"/>
    <n v="26"/>
    <n v="60"/>
  </r>
  <r>
    <s v="1072"/>
    <x v="68"/>
    <x v="245"/>
    <x v="23"/>
    <s v="Margaret Peacock"/>
    <s v="Specialty Biscuits, Ltd."/>
    <x v="1"/>
    <s v="UK"/>
    <m/>
    <s v="London"/>
    <n v="9.1999999999999993"/>
    <n v="12"/>
  </r>
  <r>
    <s v="1072"/>
    <x v="68"/>
    <x v="245"/>
    <x v="46"/>
    <s v="Margaret Peacock"/>
    <s v="Exotic Liquids"/>
    <x v="1"/>
    <s v="UK"/>
    <m/>
    <s v="London"/>
    <n v="18"/>
    <n v="80"/>
  </r>
  <r>
    <s v="1072"/>
    <x v="68"/>
    <x v="272"/>
    <x v="36"/>
    <s v="Steven Buchanan"/>
    <s v="Grandma Kelly's Homestead"/>
    <x v="0"/>
    <s v="UK"/>
    <m/>
    <s v="London"/>
    <n v="30"/>
    <n v="45"/>
  </r>
  <r>
    <s v="1072"/>
    <x v="68"/>
    <x v="272"/>
    <x v="15"/>
    <s v="Steven Buchanan"/>
    <s v="Pavlova, Ltd."/>
    <x v="0"/>
    <s v="UK"/>
    <m/>
    <s v="London"/>
    <n v="39"/>
    <n v="100"/>
  </r>
  <r>
    <s v="1072"/>
    <x v="68"/>
    <x v="272"/>
    <x v="10"/>
    <s v="Steven Buchanan"/>
    <s v="Norske Meierier"/>
    <x v="0"/>
    <s v="UK"/>
    <m/>
    <s v="London"/>
    <n v="2.5"/>
    <n v="14"/>
  </r>
  <r>
    <s v="1072"/>
    <x v="68"/>
    <x v="272"/>
    <x v="76"/>
    <s v="Steven Buchanan"/>
    <s v="New England Seafood Cannery"/>
    <x v="0"/>
    <s v="UK"/>
    <m/>
    <s v="London"/>
    <n v="18.399999999999999"/>
    <n v="42"/>
  </r>
  <r>
    <s v="1072"/>
    <x v="68"/>
    <x v="272"/>
    <x v="30"/>
    <s v="Steven Buchanan"/>
    <s v="Formaggi Fortini s.r.l."/>
    <x v="0"/>
    <s v="UK"/>
    <m/>
    <s v="London"/>
    <n v="34.799999999999997"/>
    <n v="12"/>
  </r>
  <r>
    <s v="1072"/>
    <x v="68"/>
    <x v="360"/>
    <x v="8"/>
    <s v="Steven Buchanan"/>
    <s v="Exotic Liquids"/>
    <x v="0"/>
    <s v="UK"/>
    <m/>
    <s v="London"/>
    <n v="19"/>
    <n v="30"/>
  </r>
  <r>
    <s v="1072"/>
    <x v="68"/>
    <x v="360"/>
    <x v="15"/>
    <s v="Steven Buchanan"/>
    <s v="Pavlova, Ltd."/>
    <x v="0"/>
    <s v="UK"/>
    <m/>
    <s v="London"/>
    <n v="39"/>
    <n v="27"/>
  </r>
  <r>
    <s v="1072"/>
    <x v="68"/>
    <x v="360"/>
    <x v="72"/>
    <s v="Steven Buchanan"/>
    <s v="Zaanse Snoepfabriek"/>
    <x v="0"/>
    <s v="UK"/>
    <m/>
    <s v="London"/>
    <n v="9.5"/>
    <n v="50"/>
  </r>
  <r>
    <s v="1072"/>
    <x v="68"/>
    <x v="63"/>
    <x v="63"/>
    <s v="Margaret Peacock"/>
    <s v="Ma Maison"/>
    <x v="1"/>
    <s v="UK"/>
    <m/>
    <s v="London"/>
    <n v="24"/>
    <n v="40"/>
  </r>
  <r>
    <s v="1072"/>
    <x v="68"/>
    <x v="360"/>
    <x v="25"/>
    <s v="Steven Buchanan"/>
    <s v="Escargots Nouveaux"/>
    <x v="0"/>
    <s v="UK"/>
    <m/>
    <s v="London"/>
    <n v="13.25"/>
    <n v="12"/>
  </r>
  <r>
    <s v="1072"/>
    <x v="68"/>
    <x v="189"/>
    <x v="37"/>
    <s v="Margaret Peacock"/>
    <s v="Plutzer Lebensmittelgroßmärkte AG"/>
    <x v="0"/>
    <s v="UK"/>
    <m/>
    <s v="London"/>
    <n v="99"/>
    <n v="24"/>
  </r>
  <r>
    <s v="1072"/>
    <x v="68"/>
    <x v="140"/>
    <x v="57"/>
    <s v="Steven Buchanan"/>
    <s v="New England Seafood Cannery"/>
    <x v="0"/>
    <s v="UK"/>
    <m/>
    <s v="London"/>
    <n v="9.65"/>
    <n v="42"/>
  </r>
  <r>
    <s v="1072"/>
    <x v="68"/>
    <x v="140"/>
    <x v="6"/>
    <s v="Steven Buchanan"/>
    <s v="G'day, Mate"/>
    <x v="0"/>
    <s v="UK"/>
    <m/>
    <s v="London"/>
    <n v="32.799999999999997"/>
    <n v="120"/>
  </r>
  <r>
    <s v="1072"/>
    <x v="68"/>
    <x v="115"/>
    <x v="0"/>
    <s v="Margaret Peacock"/>
    <s v="Ma Maison"/>
    <x v="1"/>
    <s v="UK"/>
    <m/>
    <s v="London"/>
    <n v="7.45"/>
    <n v="32"/>
  </r>
  <r>
    <s v="1072"/>
    <x v="68"/>
    <x v="115"/>
    <x v="49"/>
    <s v="Margaret Peacock"/>
    <s v="Karkki Oy"/>
    <x v="1"/>
    <s v="UK"/>
    <m/>
    <s v="London"/>
    <n v="20"/>
    <n v="20"/>
  </r>
  <r>
    <s v="1072"/>
    <x v="68"/>
    <x v="115"/>
    <x v="45"/>
    <s v="Margaret Peacock"/>
    <s v="Leka Trading"/>
    <x v="1"/>
    <s v="UK"/>
    <m/>
    <s v="London"/>
    <n v="14"/>
    <n v="25"/>
  </r>
  <r>
    <s v="1072"/>
    <x v="68"/>
    <x v="8"/>
    <x v="46"/>
    <s v="Michael Suyama"/>
    <s v="Exotic Liquids"/>
    <x v="1"/>
    <s v="UK"/>
    <m/>
    <s v="London"/>
    <n v="18"/>
    <n v="45"/>
  </r>
  <r>
    <s v="1072"/>
    <x v="68"/>
    <x v="8"/>
    <x v="54"/>
    <s v="Michael Suyama"/>
    <s v="Mayumi's"/>
    <x v="1"/>
    <s v="UK"/>
    <m/>
    <s v="London"/>
    <n v="6"/>
    <n v="80"/>
  </r>
  <r>
    <s v="1072"/>
    <x v="68"/>
    <x v="8"/>
    <x v="41"/>
    <s v="Michael Suyama"/>
    <s v="Refrescos Americanas LTDA"/>
    <x v="1"/>
    <s v="UK"/>
    <m/>
    <s v="London"/>
    <n v="4.5"/>
    <n v="21"/>
  </r>
  <r>
    <s v="1072"/>
    <x v="68"/>
    <x v="8"/>
    <x v="62"/>
    <s v="Michael Suyama"/>
    <s v="Plutzer Lebensmittelgroßmärkte AG"/>
    <x v="1"/>
    <s v="UK"/>
    <m/>
    <s v="London"/>
    <n v="33.25"/>
    <n v="20"/>
  </r>
  <r>
    <s v="1072"/>
    <x v="68"/>
    <x v="8"/>
    <x v="51"/>
    <s v="Michael Suyama"/>
    <s v="Norske Meierier"/>
    <x v="1"/>
    <s v="UK"/>
    <m/>
    <s v="London"/>
    <n v="21.5"/>
    <n v="16"/>
  </r>
  <r>
    <s v="1072"/>
    <x v="68"/>
    <x v="245"/>
    <x v="51"/>
    <s v="Margaret Peacock"/>
    <s v="Norske Meierier"/>
    <x v="1"/>
    <s v="UK"/>
    <m/>
    <s v="London"/>
    <n v="21.5"/>
    <n v="55"/>
  </r>
  <r>
    <s v="1072"/>
    <x v="68"/>
    <x v="63"/>
    <x v="54"/>
    <s v="Margaret Peacock"/>
    <s v="Mayumi's"/>
    <x v="1"/>
    <s v="UK"/>
    <m/>
    <s v="London"/>
    <n v="6"/>
    <n v="56"/>
  </r>
  <r>
    <s v="1072"/>
    <x v="68"/>
    <x v="360"/>
    <x v="22"/>
    <s v="Steven Buchanan"/>
    <s v="Pasta Buttini s.r.l."/>
    <x v="0"/>
    <s v="UK"/>
    <m/>
    <s v="London"/>
    <n v="38"/>
    <n v="18"/>
  </r>
  <r>
    <s v="1072"/>
    <x v="68"/>
    <x v="111"/>
    <x v="57"/>
    <s v="Robert King"/>
    <s v="New England Seafood Cannery"/>
    <x v="0"/>
    <s v="UK"/>
    <m/>
    <s v="London"/>
    <n v="9.65"/>
    <n v="120"/>
  </r>
  <r>
    <s v="1072"/>
    <x v="68"/>
    <x v="128"/>
    <x v="9"/>
    <s v="Robert King"/>
    <s v="Forêts d'érables"/>
    <x v="1"/>
    <s v="UK"/>
    <m/>
    <s v="London"/>
    <n v="49.3"/>
    <n v="30"/>
  </r>
  <r>
    <s v="1072"/>
    <x v="68"/>
    <x v="128"/>
    <x v="30"/>
    <s v="Robert King"/>
    <s v="Formaggi Fortini s.r.l."/>
    <x v="1"/>
    <s v="UK"/>
    <m/>
    <s v="London"/>
    <n v="34.799999999999997"/>
    <n v="50"/>
  </r>
  <r>
    <s v="1072"/>
    <x v="68"/>
    <x v="260"/>
    <x v="75"/>
    <s v="Andrew Fuller"/>
    <s v="Mayumi's"/>
    <x v="0"/>
    <s v="UK"/>
    <m/>
    <s v="London"/>
    <n v="15.5"/>
    <n v="50"/>
  </r>
  <r>
    <s v="1072"/>
    <x v="68"/>
    <x v="260"/>
    <x v="57"/>
    <s v="Andrew Fuller"/>
    <s v="New England Seafood Cannery"/>
    <x v="0"/>
    <s v="UK"/>
    <m/>
    <s v="London"/>
    <n v="9.65"/>
    <n v="24"/>
  </r>
  <r>
    <s v="1072"/>
    <x v="68"/>
    <x v="260"/>
    <x v="26"/>
    <s v="Andrew Fuller"/>
    <s v="Lyngbysild"/>
    <x v="0"/>
    <s v="UK"/>
    <m/>
    <s v="London"/>
    <n v="12"/>
    <n v="45"/>
  </r>
  <r>
    <s v="1072"/>
    <x v="68"/>
    <x v="260"/>
    <x v="72"/>
    <s v="Andrew Fuller"/>
    <s v="Zaanse Snoepfabriek"/>
    <x v="0"/>
    <s v="UK"/>
    <m/>
    <s v="London"/>
    <n v="9.5"/>
    <n v="10"/>
  </r>
  <r>
    <s v="1072"/>
    <x v="68"/>
    <x v="128"/>
    <x v="60"/>
    <s v="Robert King"/>
    <s v="Formaggi Fortini s.r.l."/>
    <x v="1"/>
    <s v="UK"/>
    <m/>
    <s v="London"/>
    <n v="12.5"/>
    <n v="44"/>
  </r>
  <r>
    <s v="1072"/>
    <x v="68"/>
    <x v="111"/>
    <x v="10"/>
    <s v="Robert King"/>
    <s v="Norske Meierier"/>
    <x v="0"/>
    <s v="UK"/>
    <m/>
    <s v="London"/>
    <n v="2.5"/>
    <n v="30"/>
  </r>
  <r>
    <s v="1072"/>
    <x v="68"/>
    <x v="128"/>
    <x v="32"/>
    <s v="Robert King"/>
    <s v="Specialty Biscuits, Ltd."/>
    <x v="1"/>
    <s v="UK"/>
    <m/>
    <s v="London"/>
    <n v="12.5"/>
    <n v="80"/>
  </r>
  <r>
    <s v="1072"/>
    <x v="68"/>
    <x v="362"/>
    <x v="63"/>
    <s v="Andrew Fuller"/>
    <s v="Ma Maison"/>
    <x v="0"/>
    <s v="UK"/>
    <m/>
    <s v="London"/>
    <n v="19.2"/>
    <n v="120"/>
  </r>
  <r>
    <s v="1072"/>
    <x v="68"/>
    <x v="362"/>
    <x v="13"/>
    <s v="Andrew Fuller"/>
    <s v="Bigfoot Breweries"/>
    <x v="0"/>
    <s v="UK"/>
    <m/>
    <s v="London"/>
    <n v="14.4"/>
    <n v="30"/>
  </r>
  <r>
    <s v="1072"/>
    <x v="68"/>
    <x v="260"/>
    <x v="22"/>
    <s v="Andrew Fuller"/>
    <s v="Pasta Buttini s.r.l."/>
    <x v="0"/>
    <s v="UK"/>
    <m/>
    <s v="London"/>
    <n v="38"/>
    <n v="45"/>
  </r>
  <r>
    <s v="1072"/>
    <x v="68"/>
    <x v="111"/>
    <x v="0"/>
    <s v="Robert King"/>
    <s v="Ma Maison"/>
    <x v="0"/>
    <s v="UK"/>
    <m/>
    <s v="London"/>
    <n v="7.45"/>
    <n v="30"/>
  </r>
  <r>
    <s v="1072"/>
    <x v="68"/>
    <x v="260"/>
    <x v="35"/>
    <s v="Andrew Fuller"/>
    <s v="Gai pâturage"/>
    <x v="0"/>
    <s v="UK"/>
    <m/>
    <s v="London"/>
    <n v="34"/>
    <n v="30"/>
  </r>
  <r>
    <s v="1072"/>
    <x v="68"/>
    <x v="361"/>
    <x v="23"/>
    <s v="Michael Suyama"/>
    <s v="Specialty Biscuits, Ltd."/>
    <x v="0"/>
    <s v="UK"/>
    <m/>
    <s v="London"/>
    <n v="9.1999999999999993"/>
    <n v="35"/>
  </r>
  <r>
    <s v="1072"/>
    <x v="68"/>
    <x v="111"/>
    <x v="69"/>
    <s v="Robert King"/>
    <s v="Las Cabras"/>
    <x v="0"/>
    <s v="UK"/>
    <m/>
    <s v="London"/>
    <n v="38"/>
    <n v="100"/>
  </r>
  <r>
    <s v="1017"/>
    <x v="69"/>
    <x v="191"/>
    <x v="54"/>
    <s v="Laura Callahan"/>
    <s v="Mayumi's"/>
    <x v="1"/>
    <s v="Germany"/>
    <m/>
    <s v="Aachen"/>
    <n v="6"/>
    <n v="7"/>
  </r>
  <r>
    <s v="1017"/>
    <x v="69"/>
    <x v="314"/>
    <x v="40"/>
    <s v="Margaret Peacock"/>
    <s v="Karkki Oy"/>
    <x v="0"/>
    <s v="Germany"/>
    <m/>
    <s v="Aachen"/>
    <n v="14.4"/>
    <n v="12"/>
  </r>
  <r>
    <s v="1017"/>
    <x v="69"/>
    <x v="314"/>
    <x v="27"/>
    <s v="Margaret Peacock"/>
    <s v="Plutzer Lebensmittelgroßmärkte AG"/>
    <x v="0"/>
    <s v="Germany"/>
    <m/>
    <s v="Aachen"/>
    <n v="6.2"/>
    <n v="12"/>
  </r>
  <r>
    <s v="1017"/>
    <x v="69"/>
    <x v="348"/>
    <x v="54"/>
    <s v="Janet Leverling"/>
    <s v="Mayumi's"/>
    <x v="0"/>
    <s v="Germany"/>
    <m/>
    <s v="Aachen"/>
    <n v="4.8"/>
    <n v="18"/>
  </r>
  <r>
    <s v="1017"/>
    <x v="69"/>
    <x v="191"/>
    <x v="17"/>
    <s v="Laura Callahan"/>
    <s v="Gai pâturage"/>
    <x v="1"/>
    <s v="Germany"/>
    <m/>
    <s v="Aachen"/>
    <n v="55"/>
    <n v="30"/>
  </r>
  <r>
    <s v="1017"/>
    <x v="69"/>
    <x v="155"/>
    <x v="56"/>
    <s v="Robert King"/>
    <s v="Las Cabras"/>
    <x v="1"/>
    <s v="Germany"/>
    <m/>
    <s v="Aachen"/>
    <n v="21"/>
    <n v="20"/>
  </r>
  <r>
    <s v="1017"/>
    <x v="69"/>
    <x v="299"/>
    <x v="57"/>
    <s v="Nancy Davolio"/>
    <s v="New England Seafood Cannery"/>
    <x v="1"/>
    <s v="Germany"/>
    <m/>
    <s v="Aachen"/>
    <n v="9.65"/>
    <n v="9"/>
  </r>
  <r>
    <s v="1017"/>
    <x v="69"/>
    <x v="314"/>
    <x v="60"/>
    <s v="Margaret Peacock"/>
    <s v="Formaggi Fortini s.r.l."/>
    <x v="0"/>
    <s v="Germany"/>
    <m/>
    <s v="Aachen"/>
    <n v="10"/>
    <n v="20"/>
  </r>
  <r>
    <s v="1017"/>
    <x v="69"/>
    <x v="96"/>
    <x v="5"/>
    <s v="Nancy Davolio"/>
    <s v="Heli Süßwaren GmbH &amp; Co. KG"/>
    <x v="1"/>
    <s v="Germany"/>
    <m/>
    <s v="Aachen"/>
    <n v="31.23"/>
    <n v="12"/>
  </r>
  <r>
    <s v="1017"/>
    <x v="69"/>
    <x v="96"/>
    <x v="6"/>
    <s v="Nancy Davolio"/>
    <s v="G'day, Mate"/>
    <x v="1"/>
    <s v="Germany"/>
    <m/>
    <s v="Aachen"/>
    <n v="32.799999999999997"/>
    <n v="20"/>
  </r>
  <r>
    <s v="1059"/>
    <x v="70"/>
    <x v="25"/>
    <x v="46"/>
    <s v="Laura Callahan"/>
    <s v="Exotic Liquids"/>
    <x v="0"/>
    <s v="Austria"/>
    <m/>
    <s v="Salzburg"/>
    <n v="14.4"/>
    <n v="12"/>
  </r>
  <r>
    <s v="1059"/>
    <x v="70"/>
    <x v="363"/>
    <x v="27"/>
    <s v="Steven Buchanan"/>
    <s v="Plutzer Lebensmittelgroßmärkte AG"/>
    <x v="0"/>
    <s v="Austria"/>
    <m/>
    <s v="Salzburg"/>
    <n v="6.2"/>
    <n v="10"/>
  </r>
  <r>
    <s v="1059"/>
    <x v="70"/>
    <x v="101"/>
    <x v="41"/>
    <s v="Andrew Fuller"/>
    <s v="Refrescos Americanas LTDA"/>
    <x v="1"/>
    <s v="Austria"/>
    <m/>
    <s v="Salzburg"/>
    <n v="4.5"/>
    <n v="20"/>
  </r>
  <r>
    <s v="1059"/>
    <x v="70"/>
    <x v="3"/>
    <x v="21"/>
    <s v="Andrew Fuller"/>
    <s v="Lyngbysild"/>
    <x v="0"/>
    <s v="Austria"/>
    <m/>
    <s v="Salzburg"/>
    <n v="9.5"/>
    <n v="21"/>
  </r>
  <r>
    <s v="1059"/>
    <x v="70"/>
    <x v="259"/>
    <x v="34"/>
    <s v="Nancy Davolio"/>
    <s v="G'day, Mate"/>
    <x v="1"/>
    <s v="Austria"/>
    <m/>
    <s v="Salzburg"/>
    <n v="53"/>
    <n v="20"/>
  </r>
  <r>
    <s v="1059"/>
    <x v="70"/>
    <x v="363"/>
    <x v="68"/>
    <s v="Steven Buchanan"/>
    <s v="Mayumi's"/>
    <x v="0"/>
    <s v="Austria"/>
    <m/>
    <s v="Salzburg"/>
    <n v="18.600000000000001"/>
    <n v="12"/>
  </r>
  <r>
    <s v="1059"/>
    <x v="70"/>
    <x v="3"/>
    <x v="6"/>
    <s v="Andrew Fuller"/>
    <s v="G'day, Mate"/>
    <x v="0"/>
    <s v="Austria"/>
    <m/>
    <s v="Salzburg"/>
    <n v="32.799999999999997"/>
    <n v="6"/>
  </r>
  <r>
    <s v="1059"/>
    <x v="70"/>
    <x v="363"/>
    <x v="76"/>
    <s v="Steven Buchanan"/>
    <s v="New England Seafood Cannery"/>
    <x v="0"/>
    <s v="Austria"/>
    <m/>
    <s v="Salzburg"/>
    <n v="14.7"/>
    <n v="21"/>
  </r>
  <r>
    <s v="1059"/>
    <x v="70"/>
    <x v="101"/>
    <x v="56"/>
    <s v="Andrew Fuller"/>
    <s v="Las Cabras"/>
    <x v="1"/>
    <s v="Austria"/>
    <m/>
    <s v="Salzburg"/>
    <n v="21"/>
    <n v="10"/>
  </r>
  <r>
    <s v="1059"/>
    <x v="70"/>
    <x v="363"/>
    <x v="31"/>
    <s v="Steven Buchanan"/>
    <s v="Plutzer Lebensmittelgroßmärkte AG"/>
    <x v="0"/>
    <s v="Austria"/>
    <m/>
    <s v="Salzburg"/>
    <n v="36.4"/>
    <n v="18"/>
  </r>
  <r>
    <s v="1059"/>
    <x v="70"/>
    <x v="25"/>
    <x v="37"/>
    <s v="Laura Callahan"/>
    <s v="Plutzer Lebensmittelgroßmärkte AG"/>
    <x v="0"/>
    <s v="Austria"/>
    <m/>
    <s v="Salzburg"/>
    <n v="99"/>
    <n v="4"/>
  </r>
  <r>
    <s v="1059"/>
    <x v="70"/>
    <x v="265"/>
    <x v="50"/>
    <s v="Robert King"/>
    <s v="G'day, Mate"/>
    <x v="0"/>
    <s v="Austria"/>
    <m/>
    <s v="Salzburg"/>
    <n v="5.6"/>
    <n v="20"/>
  </r>
  <r>
    <s v="1059"/>
    <x v="70"/>
    <x v="3"/>
    <x v="73"/>
    <s v="Andrew Fuller"/>
    <s v="Bigfoot Breweries"/>
    <x v="0"/>
    <s v="Austria"/>
    <m/>
    <s v="Salzburg"/>
    <n v="14"/>
    <n v="30"/>
  </r>
  <r>
    <s v="1059"/>
    <x v="70"/>
    <x v="259"/>
    <x v="35"/>
    <s v="Nancy Davolio"/>
    <s v="Gai pâturage"/>
    <x v="1"/>
    <s v="Austria"/>
    <m/>
    <s v="Salzburg"/>
    <n v="34"/>
    <n v="4"/>
  </r>
  <r>
    <s v="1053"/>
    <x v="71"/>
    <x v="56"/>
    <x v="72"/>
    <s v="Janet Leverling"/>
    <s v="Zaanse Snoepfabriek"/>
    <x v="0"/>
    <s v="UK"/>
    <m/>
    <s v="London"/>
    <n v="9.5"/>
    <n v="12"/>
  </r>
  <r>
    <s v="1053"/>
    <x v="71"/>
    <x v="364"/>
    <x v="40"/>
    <s v="Steven Buchanan"/>
    <s v="Karkki Oy"/>
    <x v="0"/>
    <s v="UK"/>
    <m/>
    <s v="London"/>
    <n v="18"/>
    <n v="10"/>
  </r>
  <r>
    <s v="1053"/>
    <x v="71"/>
    <x v="104"/>
    <x v="9"/>
    <s v="Janet Leverling"/>
    <s v="Forêts d'érables"/>
    <x v="1"/>
    <s v="UK"/>
    <m/>
    <s v="London"/>
    <n v="49.3"/>
    <n v="20"/>
  </r>
  <r>
    <s v="1053"/>
    <x v="71"/>
    <x v="225"/>
    <x v="31"/>
    <s v="Andrew Fuller"/>
    <s v="Plutzer Lebensmittelgroßmärkte AG"/>
    <x v="0"/>
    <s v="UK"/>
    <m/>
    <s v="London"/>
    <n v="36.4"/>
    <n v="20"/>
  </r>
  <r>
    <s v="1053"/>
    <x v="71"/>
    <x v="225"/>
    <x v="9"/>
    <s v="Andrew Fuller"/>
    <s v="Forêts d'érables"/>
    <x v="0"/>
    <s v="UK"/>
    <m/>
    <s v="London"/>
    <n v="39.4"/>
    <n v="12"/>
  </r>
  <r>
    <s v="1053"/>
    <x v="71"/>
    <x v="364"/>
    <x v="30"/>
    <s v="Steven Buchanan"/>
    <s v="Formaggi Fortini s.r.l."/>
    <x v="0"/>
    <s v="UK"/>
    <m/>
    <s v="London"/>
    <n v="34.799999999999997"/>
    <n v="30"/>
  </r>
  <r>
    <s v="1053"/>
    <x v="71"/>
    <x v="364"/>
    <x v="28"/>
    <s v="Steven Buchanan"/>
    <s v="Pavlova, Ltd."/>
    <x v="0"/>
    <s v="UK"/>
    <m/>
    <s v="London"/>
    <n v="43.9"/>
    <n v="6"/>
  </r>
  <r>
    <s v="1053"/>
    <x v="71"/>
    <x v="210"/>
    <x v="54"/>
    <s v="Margaret Peacock"/>
    <s v="Mayumi's"/>
    <x v="1"/>
    <s v="UK"/>
    <m/>
    <s v="London"/>
    <n v="6"/>
    <n v="20"/>
  </r>
  <r>
    <s v="1053"/>
    <x v="71"/>
    <x v="210"/>
    <x v="60"/>
    <s v="Margaret Peacock"/>
    <s v="Formaggi Fortini s.r.l."/>
    <x v="1"/>
    <s v="UK"/>
    <m/>
    <s v="London"/>
    <n v="12.5"/>
    <n v="10"/>
  </r>
  <r>
    <s v="1053"/>
    <x v="71"/>
    <x v="364"/>
    <x v="17"/>
    <s v="Steven Buchanan"/>
    <s v="Gai pâturage"/>
    <x v="0"/>
    <s v="UK"/>
    <m/>
    <s v="London"/>
    <n v="55"/>
    <n v="12"/>
  </r>
  <r>
    <s v="1053"/>
    <x v="71"/>
    <x v="104"/>
    <x v="1"/>
    <s v="Janet Leverling"/>
    <s v="Pavlova, Ltd."/>
    <x v="1"/>
    <s v="UK"/>
    <m/>
    <s v="London"/>
    <n v="17.45"/>
    <n v="20"/>
  </r>
  <r>
    <s v="1079"/>
    <x v="72"/>
    <x v="63"/>
    <x v="46"/>
    <s v="Janet Leverling"/>
    <s v="Exotic Liquids"/>
    <x v="1"/>
    <s v="Germany"/>
    <m/>
    <s v="Münster"/>
    <n v="18"/>
    <n v="4"/>
  </r>
  <r>
    <s v="1079"/>
    <x v="72"/>
    <x v="63"/>
    <x v="76"/>
    <s v="Janet Leverling"/>
    <s v="New England Seafood Cannery"/>
    <x v="1"/>
    <s v="Germany"/>
    <m/>
    <s v="Münster"/>
    <n v="18.399999999999999"/>
    <n v="10"/>
  </r>
  <r>
    <s v="1079"/>
    <x v="72"/>
    <x v="322"/>
    <x v="31"/>
    <s v="Margaret Peacock"/>
    <s v="Plutzer Lebensmittelgroßmärkte AG"/>
    <x v="0"/>
    <s v="Germany"/>
    <m/>
    <s v="Münster"/>
    <n v="45.6"/>
    <n v="10"/>
  </r>
  <r>
    <s v="1079"/>
    <x v="72"/>
    <x v="322"/>
    <x v="37"/>
    <s v="Margaret Peacock"/>
    <s v="Plutzer Lebensmittelgroßmärkte AG"/>
    <x v="0"/>
    <s v="Germany"/>
    <m/>
    <s v="Münster"/>
    <n v="123.79"/>
    <n v="6"/>
  </r>
  <r>
    <s v="1079"/>
    <x v="72"/>
    <x v="63"/>
    <x v="50"/>
    <s v="Janet Leverling"/>
    <s v="G'day, Mate"/>
    <x v="1"/>
    <s v="Germany"/>
    <m/>
    <s v="Münster"/>
    <n v="7"/>
    <n v="10"/>
  </r>
  <r>
    <s v="1079"/>
    <x v="72"/>
    <x v="168"/>
    <x v="43"/>
    <s v="Robert King"/>
    <s v="Tokyo Traders"/>
    <x v="1"/>
    <s v="Germany"/>
    <m/>
    <s v="Münster"/>
    <n v="31"/>
    <n v="6"/>
  </r>
  <r>
    <s v="1079"/>
    <x v="72"/>
    <x v="322"/>
    <x v="29"/>
    <s v="Margaret Peacock"/>
    <s v="Leka Trading"/>
    <x v="0"/>
    <s v="Germany"/>
    <m/>
    <s v="Münster"/>
    <n v="19.45"/>
    <n v="10"/>
  </r>
  <r>
    <s v="1079"/>
    <x v="72"/>
    <x v="168"/>
    <x v="73"/>
    <s v="Robert King"/>
    <s v="Bigfoot Breweries"/>
    <x v="1"/>
    <s v="Germany"/>
    <m/>
    <s v="Münster"/>
    <n v="14"/>
    <n v="3"/>
  </r>
  <r>
    <s v="1007"/>
    <x v="73"/>
    <x v="365"/>
    <x v="15"/>
    <s v="Andrew Fuller"/>
    <s v="Pavlova, Ltd."/>
    <x v="0"/>
    <s v="France"/>
    <m/>
    <s v="Strasbourg"/>
    <n v="31.2"/>
    <n v="30"/>
  </r>
  <r>
    <s v="1007"/>
    <x v="73"/>
    <x v="365"/>
    <x v="47"/>
    <s v="Andrew Fuller"/>
    <s v="Pavlova, Ltd."/>
    <x v="0"/>
    <s v="France"/>
    <m/>
    <s v="Strasbourg"/>
    <n v="12"/>
    <n v="20"/>
  </r>
  <r>
    <s v="1007"/>
    <x v="73"/>
    <x v="121"/>
    <x v="40"/>
    <s v="Anne Dodsworth"/>
    <s v="Karkki Oy"/>
    <x v="0"/>
    <s v="France"/>
    <m/>
    <s v="Strasbourg"/>
    <n v="18"/>
    <n v="10"/>
  </r>
  <r>
    <s v="1007"/>
    <x v="73"/>
    <x v="121"/>
    <x v="11"/>
    <s v="Anne Dodsworth"/>
    <s v="Pavlova, Ltd."/>
    <x v="0"/>
    <s v="France"/>
    <m/>
    <s v="Strasbourg"/>
    <n v="62.5"/>
    <n v="18"/>
  </r>
  <r>
    <s v="1007"/>
    <x v="73"/>
    <x v="121"/>
    <x v="56"/>
    <s v="Anne Dodsworth"/>
    <s v="Las Cabras"/>
    <x v="0"/>
    <s v="France"/>
    <m/>
    <s v="Strasbourg"/>
    <n v="21"/>
    <n v="35"/>
  </r>
  <r>
    <s v="1007"/>
    <x v="73"/>
    <x v="130"/>
    <x v="26"/>
    <s v="Janet Leverling"/>
    <s v="Lyngbysild"/>
    <x v="0"/>
    <s v="France"/>
    <m/>
    <s v="Strasbourg"/>
    <n v="9.6"/>
    <n v="5"/>
  </r>
  <r>
    <s v="1007"/>
    <x v="73"/>
    <x v="253"/>
    <x v="18"/>
    <s v="Margaret Peacock"/>
    <s v="Aux joyeux ecclésiastiques"/>
    <x v="0"/>
    <s v="France"/>
    <m/>
    <s v="Strasbourg"/>
    <n v="210.8"/>
    <n v="10"/>
  </r>
  <r>
    <s v="1007"/>
    <x v="73"/>
    <x v="130"/>
    <x v="62"/>
    <s v="Janet Leverling"/>
    <s v="Plutzer Lebensmittelgroßmärkte AG"/>
    <x v="0"/>
    <s v="France"/>
    <m/>
    <s v="Strasbourg"/>
    <n v="26.6"/>
    <n v="30"/>
  </r>
  <r>
    <s v="1007"/>
    <x v="73"/>
    <x v="130"/>
    <x v="27"/>
    <s v="Janet Leverling"/>
    <s v="Plutzer Lebensmittelgroßmärkte AG"/>
    <x v="0"/>
    <s v="France"/>
    <m/>
    <s v="Strasbourg"/>
    <n v="6.2"/>
    <n v="24"/>
  </r>
  <r>
    <s v="1007"/>
    <x v="73"/>
    <x v="253"/>
    <x v="0"/>
    <s v="Margaret Peacock"/>
    <s v="Ma Maison"/>
    <x v="0"/>
    <s v="France"/>
    <m/>
    <s v="Strasbourg"/>
    <n v="5.9"/>
    <n v="28"/>
  </r>
  <r>
    <s v="1007"/>
    <x v="73"/>
    <x v="253"/>
    <x v="49"/>
    <s v="Margaret Peacock"/>
    <s v="Karkki Oy"/>
    <x v="0"/>
    <s v="France"/>
    <m/>
    <s v="Strasbourg"/>
    <n v="16"/>
    <n v="35"/>
  </r>
  <r>
    <s v="1007"/>
    <x v="73"/>
    <x v="366"/>
    <x v="9"/>
    <s v="Janet Leverling"/>
    <s v="Forêts d'érables"/>
    <x v="0"/>
    <s v="France"/>
    <m/>
    <s v="Strasbourg"/>
    <n v="39.4"/>
    <n v="35"/>
  </r>
  <r>
    <s v="1007"/>
    <x v="73"/>
    <x v="130"/>
    <x v="22"/>
    <s v="Janet Leverling"/>
    <s v="Pasta Buttini s.r.l."/>
    <x v="0"/>
    <s v="France"/>
    <m/>
    <s v="Strasbourg"/>
    <n v="30.4"/>
    <n v="40"/>
  </r>
  <r>
    <s v="1007"/>
    <x v="73"/>
    <x v="111"/>
    <x v="17"/>
    <s v="Laura Callahan"/>
    <s v="Gai pâturage"/>
    <x v="0"/>
    <s v="France"/>
    <m/>
    <s v="Strasbourg"/>
    <n v="55"/>
    <n v="12"/>
  </r>
  <r>
    <s v="1007"/>
    <x v="73"/>
    <x v="297"/>
    <x v="30"/>
    <s v="Steven Buchanan"/>
    <s v="Formaggi Fortini s.r.l."/>
    <x v="0"/>
    <s v="France"/>
    <m/>
    <s v="Strasbourg"/>
    <n v="27.8"/>
    <n v="20"/>
  </r>
  <r>
    <s v="1007"/>
    <x v="73"/>
    <x v="96"/>
    <x v="60"/>
    <s v="Michael Suyama"/>
    <s v="Formaggi Fortini s.r.l."/>
    <x v="1"/>
    <s v="France"/>
    <m/>
    <s v="Strasbourg"/>
    <n v="12.5"/>
    <n v="35"/>
  </r>
  <r>
    <s v="1007"/>
    <x v="73"/>
    <x v="96"/>
    <x v="53"/>
    <s v="Michael Suyama"/>
    <s v="Pasta Buttini s.r.l."/>
    <x v="1"/>
    <s v="France"/>
    <m/>
    <s v="Strasbourg"/>
    <n v="19.5"/>
    <n v="15"/>
  </r>
  <r>
    <s v="1007"/>
    <x v="73"/>
    <x v="297"/>
    <x v="44"/>
    <s v="Steven Buchanan"/>
    <s v="Aux joyeux ecclésiastiques"/>
    <x v="0"/>
    <s v="France"/>
    <m/>
    <s v="Strasbourg"/>
    <n v="14.4"/>
    <n v="60"/>
  </r>
  <r>
    <s v="1007"/>
    <x v="73"/>
    <x v="367"/>
    <x v="63"/>
    <s v="Michael Suyama"/>
    <s v="Ma Maison"/>
    <x v="0"/>
    <s v="France"/>
    <m/>
    <s v="Strasbourg"/>
    <n v="24"/>
    <n v="18"/>
  </r>
  <r>
    <s v="1007"/>
    <x v="73"/>
    <x v="366"/>
    <x v="43"/>
    <s v="Janet Leverling"/>
    <s v="Tokyo Traders"/>
    <x v="0"/>
    <s v="France"/>
    <m/>
    <s v="Strasbourg"/>
    <n v="24.8"/>
    <n v="14"/>
  </r>
  <r>
    <s v="1007"/>
    <x v="73"/>
    <x v="241"/>
    <x v="46"/>
    <s v="Margaret Peacock"/>
    <s v="Exotic Liquids"/>
    <x v="0"/>
    <s v="France"/>
    <m/>
    <s v="Strasbourg"/>
    <n v="18"/>
    <n v="25"/>
  </r>
  <r>
    <s v="1007"/>
    <x v="73"/>
    <x v="367"/>
    <x v="57"/>
    <s v="Michael Suyama"/>
    <s v="New England Seafood Cannery"/>
    <x v="0"/>
    <s v="France"/>
    <m/>
    <s v="Strasbourg"/>
    <n v="9.65"/>
    <n v="12"/>
  </r>
  <r>
    <s v="1007"/>
    <x v="73"/>
    <x v="253"/>
    <x v="37"/>
    <s v="Margaret Peacock"/>
    <s v="Plutzer Lebensmittelgroßmärkte AG"/>
    <x v="0"/>
    <s v="France"/>
    <m/>
    <s v="Strasbourg"/>
    <n v="99"/>
    <n v="35"/>
  </r>
  <r>
    <s v="1007"/>
    <x v="73"/>
    <x v="253"/>
    <x v="31"/>
    <s v="Margaret Peacock"/>
    <s v="Plutzer Lebensmittelgroßmärkte AG"/>
    <x v="0"/>
    <s v="France"/>
    <m/>
    <s v="Strasbourg"/>
    <n v="36.4"/>
    <n v="30"/>
  </r>
  <r>
    <s v="1007"/>
    <x v="73"/>
    <x v="366"/>
    <x v="50"/>
    <s v="Janet Leverling"/>
    <s v="G'day, Mate"/>
    <x v="0"/>
    <s v="France"/>
    <m/>
    <s v="Strasbourg"/>
    <n v="5.6"/>
    <n v="20"/>
  </r>
  <r>
    <s v="1007"/>
    <x v="73"/>
    <x v="133"/>
    <x v="60"/>
    <s v="Margaret Peacock"/>
    <s v="Formaggi Fortini s.r.l."/>
    <x v="0"/>
    <s v="France"/>
    <m/>
    <s v="Strasbourg"/>
    <n v="12.5"/>
    <n v="50"/>
  </r>
  <r>
    <s v="1081"/>
    <x v="74"/>
    <x v="254"/>
    <x v="29"/>
    <s v="Andrew Fuller"/>
    <s v="Leka Trading"/>
    <x v="0"/>
    <s v="Brazil"/>
    <s v="SP"/>
    <s v="São Paulo"/>
    <n v="19.45"/>
    <n v="21"/>
  </r>
  <r>
    <s v="1081"/>
    <x v="74"/>
    <x v="254"/>
    <x v="23"/>
    <s v="Andrew Fuller"/>
    <s v="Specialty Biscuits, Ltd."/>
    <x v="0"/>
    <s v="Brazil"/>
    <s v="SP"/>
    <s v="São Paulo"/>
    <n v="9.1999999999999993"/>
    <n v="7"/>
  </r>
  <r>
    <s v="1081"/>
    <x v="74"/>
    <x v="368"/>
    <x v="18"/>
    <s v="Margaret Peacock"/>
    <s v="Aux joyeux ecclésiastiques"/>
    <x v="0"/>
    <s v="Brazil"/>
    <s v="SP"/>
    <s v="São Paulo"/>
    <n v="263.5"/>
    <n v="15"/>
  </r>
  <r>
    <s v="1081"/>
    <x v="74"/>
    <x v="248"/>
    <x v="47"/>
    <s v="Nancy Davolio"/>
    <s v="Pavlova, Ltd."/>
    <x v="1"/>
    <s v="Brazil"/>
    <s v="SP"/>
    <s v="São Paulo"/>
    <n v="15"/>
    <n v="12"/>
  </r>
  <r>
    <s v="1081"/>
    <x v="74"/>
    <x v="368"/>
    <x v="41"/>
    <s v="Margaret Peacock"/>
    <s v="Refrescos Americanas LTDA"/>
    <x v="0"/>
    <s v="Brazil"/>
    <s v="SP"/>
    <s v="São Paulo"/>
    <n v="4.5"/>
    <n v="5"/>
  </r>
  <r>
    <s v="1081"/>
    <x v="74"/>
    <x v="254"/>
    <x v="43"/>
    <s v="Andrew Fuller"/>
    <s v="Tokyo Traders"/>
    <x v="0"/>
    <s v="Brazil"/>
    <s v="SP"/>
    <s v="São Paulo"/>
    <n v="31"/>
    <n v="2"/>
  </r>
  <r>
    <s v="1081"/>
    <x v="74"/>
    <x v="368"/>
    <x v="29"/>
    <s v="Margaret Peacock"/>
    <s v="Leka Trading"/>
    <x v="0"/>
    <s v="Brazil"/>
    <s v="SP"/>
    <s v="São Paulo"/>
    <n v="19.45"/>
    <n v="9"/>
  </r>
  <r>
    <s v="1081"/>
    <x v="74"/>
    <x v="369"/>
    <x v="43"/>
    <s v="Laura Callahan"/>
    <s v="Tokyo Traders"/>
    <x v="0"/>
    <s v="Brazil"/>
    <s v="SP"/>
    <s v="São Paulo"/>
    <n v="24.8"/>
    <n v="15"/>
  </r>
  <r>
    <s v="1081"/>
    <x v="74"/>
    <x v="299"/>
    <x v="44"/>
    <s v="Nancy Davolio"/>
    <s v="Aux joyeux ecclésiastiques"/>
    <x v="1"/>
    <s v="Brazil"/>
    <s v="SP"/>
    <s v="São Paulo"/>
    <n v="18"/>
    <n v="20"/>
  </r>
  <r>
    <s v="1081"/>
    <x v="74"/>
    <x v="370"/>
    <x v="15"/>
    <s v="Robert King"/>
    <s v="Pavlova, Ltd."/>
    <x v="0"/>
    <s v="Brazil"/>
    <s v="SP"/>
    <s v="São Paulo"/>
    <n v="31.2"/>
    <n v="8"/>
  </r>
  <r>
    <s v="1081"/>
    <x v="74"/>
    <x v="371"/>
    <x v="27"/>
    <s v="Nancy Davolio"/>
    <s v="Plutzer Lebensmittelgroßmärkte AG"/>
    <x v="0"/>
    <s v="Brazil"/>
    <s v="SP"/>
    <s v="São Paulo"/>
    <n v="6.2"/>
    <n v="6"/>
  </r>
  <r>
    <s v="1081"/>
    <x v="74"/>
    <x v="47"/>
    <x v="49"/>
    <s v="Nancy Davolio"/>
    <s v="Karkki Oy"/>
    <x v="0"/>
    <s v="Brazil"/>
    <s v="SP"/>
    <s v="São Paulo"/>
    <n v="16"/>
    <n v="30"/>
  </r>
  <r>
    <s v="1081"/>
    <x v="74"/>
    <x v="370"/>
    <x v="31"/>
    <s v="Robert King"/>
    <s v="Plutzer Lebensmittelgroßmärkte AG"/>
    <x v="0"/>
    <s v="Brazil"/>
    <s v="SP"/>
    <s v="São Paulo"/>
    <n v="36.4"/>
    <n v="14"/>
  </r>
  <r>
    <s v="1081"/>
    <x v="74"/>
    <x v="47"/>
    <x v="17"/>
    <s v="Nancy Davolio"/>
    <s v="Gai pâturage"/>
    <x v="0"/>
    <s v="Brazil"/>
    <s v="SP"/>
    <s v="São Paulo"/>
    <n v="44"/>
    <n v="10"/>
  </r>
  <r>
    <s v="1081"/>
    <x v="74"/>
    <x v="371"/>
    <x v="28"/>
    <s v="Nancy Davolio"/>
    <s v="Pavlova, Ltd."/>
    <x v="0"/>
    <s v="Brazil"/>
    <s v="SP"/>
    <s v="São Paulo"/>
    <n v="35.1"/>
    <n v="5"/>
  </r>
  <r>
    <s v="1081"/>
    <x v="74"/>
    <x v="369"/>
    <x v="54"/>
    <s v="Laura Callahan"/>
    <s v="Mayumi's"/>
    <x v="0"/>
    <s v="Brazil"/>
    <s v="SP"/>
    <s v="São Paulo"/>
    <n v="4.8"/>
    <n v="10"/>
  </r>
  <r>
    <s v="1081"/>
    <x v="74"/>
    <x v="334"/>
    <x v="29"/>
    <s v="Janet Leverling"/>
    <s v="Leka Trading"/>
    <x v="0"/>
    <s v="Brazil"/>
    <s v="SP"/>
    <s v="São Paulo"/>
    <n v="19.45"/>
    <n v="21"/>
  </r>
  <r>
    <s v="1081"/>
    <x v="74"/>
    <x v="248"/>
    <x v="56"/>
    <s v="Nancy Davolio"/>
    <s v="Las Cabras"/>
    <x v="1"/>
    <s v="Brazil"/>
    <s v="SP"/>
    <s v="São Paulo"/>
    <n v="21"/>
    <n v="15"/>
  </r>
  <r>
    <s v="1081"/>
    <x v="74"/>
    <x v="47"/>
    <x v="51"/>
    <s v="Nancy Davolio"/>
    <s v="Norske Meierier"/>
    <x v="0"/>
    <s v="Brazil"/>
    <s v="SP"/>
    <s v="São Paulo"/>
    <n v="17.2"/>
    <n v="2"/>
  </r>
  <r>
    <s v="1081"/>
    <x v="74"/>
    <x v="371"/>
    <x v="11"/>
    <s v="Nancy Davolio"/>
    <s v="Pavlova, Ltd."/>
    <x v="0"/>
    <s v="Brazil"/>
    <s v="SP"/>
    <s v="São Paulo"/>
    <n v="50"/>
    <n v="12"/>
  </r>
  <r>
    <s v="1081"/>
    <x v="74"/>
    <x v="248"/>
    <x v="38"/>
    <s v="Nancy Davolio"/>
    <s v="Leka Trading"/>
    <x v="1"/>
    <s v="Brazil"/>
    <s v="SP"/>
    <s v="São Paulo"/>
    <n v="46"/>
    <n v="5"/>
  </r>
  <r>
    <s v="1081"/>
    <x v="74"/>
    <x v="371"/>
    <x v="41"/>
    <s v="Nancy Davolio"/>
    <s v="Refrescos Americanas LTDA"/>
    <x v="0"/>
    <s v="Brazil"/>
    <s v="SP"/>
    <s v="São Paulo"/>
    <n v="3.6"/>
    <n v="10"/>
  </r>
  <r>
    <s v="1081"/>
    <x v="74"/>
    <x v="248"/>
    <x v="32"/>
    <s v="Nancy Davolio"/>
    <s v="Specialty Biscuits, Ltd."/>
    <x v="1"/>
    <s v="Brazil"/>
    <s v="SP"/>
    <s v="São Paulo"/>
    <n v="12.5"/>
    <n v="20"/>
  </r>
  <r>
    <s v="1081"/>
    <x v="74"/>
    <x v="334"/>
    <x v="60"/>
    <s v="Janet Leverling"/>
    <s v="Formaggi Fortini s.r.l."/>
    <x v="0"/>
    <s v="Brazil"/>
    <s v="SP"/>
    <s v="São Paulo"/>
    <n v="12.5"/>
    <n v="20"/>
  </r>
  <r>
    <s v="1081"/>
    <x v="74"/>
    <x v="293"/>
    <x v="0"/>
    <s v="Andrew Fuller"/>
    <s v="Ma Maison"/>
    <x v="1"/>
    <s v="Brazil"/>
    <s v="SP"/>
    <s v="São Paulo"/>
    <n v="7.45"/>
    <n v="10"/>
  </r>
  <r>
    <s v="1081"/>
    <x v="74"/>
    <x v="334"/>
    <x v="46"/>
    <s v="Janet Leverling"/>
    <s v="Exotic Liquids"/>
    <x v="0"/>
    <s v="Brazil"/>
    <s v="SP"/>
    <s v="São Paulo"/>
    <n v="18"/>
    <n v="10"/>
  </r>
  <r>
    <s v="1081"/>
    <x v="74"/>
    <x v="293"/>
    <x v="10"/>
    <s v="Andrew Fuller"/>
    <s v="Norske Meierier"/>
    <x v="1"/>
    <s v="Brazil"/>
    <s v="SP"/>
    <s v="São Paulo"/>
    <n v="2.5"/>
    <n v="30"/>
  </r>
  <r>
    <s v="1081"/>
    <x v="74"/>
    <x v="370"/>
    <x v="40"/>
    <s v="Robert King"/>
    <s v="Karkki Oy"/>
    <x v="0"/>
    <s v="Brazil"/>
    <s v="SP"/>
    <s v="São Paulo"/>
    <n v="14.4"/>
    <n v="30"/>
  </r>
  <r>
    <s v="1081"/>
    <x v="74"/>
    <x v="293"/>
    <x v="15"/>
    <s v="Andrew Fuller"/>
    <s v="Pavlova, Ltd."/>
    <x v="1"/>
    <s v="Brazil"/>
    <s v="SP"/>
    <s v="São Paulo"/>
    <n v="39"/>
    <n v="10"/>
  </r>
  <r>
    <s v="1071"/>
    <x v="75"/>
    <x v="305"/>
    <x v="11"/>
    <s v="Robert King"/>
    <s v="Pavlova, Ltd."/>
    <x v="0"/>
    <s v="USA"/>
    <s v="ID"/>
    <s v="Boise"/>
    <n v="62.5"/>
    <n v="8"/>
  </r>
  <r>
    <s v="1071"/>
    <x v="75"/>
    <x v="309"/>
    <x v="38"/>
    <s v="Janet Leverling"/>
    <s v="Leka Trading"/>
    <x v="1"/>
    <s v="USA"/>
    <s v="ID"/>
    <s v="Boise"/>
    <n v="46"/>
    <n v="9"/>
  </r>
  <r>
    <s v="1071"/>
    <x v="75"/>
    <x v="109"/>
    <x v="57"/>
    <s v="Nancy Davolio"/>
    <s v="New England Seafood Cannery"/>
    <x v="1"/>
    <s v="USA"/>
    <s v="ID"/>
    <s v="Boise"/>
    <n v="9.65"/>
    <n v="5"/>
  </r>
  <r>
    <s v="1071"/>
    <x v="75"/>
    <x v="109"/>
    <x v="36"/>
    <s v="Nancy Davolio"/>
    <s v="Grandma Kelly's Homestead"/>
    <x v="1"/>
    <s v="USA"/>
    <s v="ID"/>
    <s v="Boise"/>
    <n v="30"/>
    <n v="12"/>
  </r>
  <r>
    <s v="1071"/>
    <x v="75"/>
    <x v="109"/>
    <x v="1"/>
    <s v="Nancy Davolio"/>
    <s v="Pavlova, Ltd."/>
    <x v="1"/>
    <s v="USA"/>
    <s v="ID"/>
    <s v="Boise"/>
    <n v="17.45"/>
    <n v="15"/>
  </r>
  <r>
    <s v="1071"/>
    <x v="75"/>
    <x v="335"/>
    <x v="6"/>
    <s v="Robert King"/>
    <s v="G'day, Mate"/>
    <x v="0"/>
    <s v="USA"/>
    <s v="ID"/>
    <s v="Boise"/>
    <n v="32.799999999999997"/>
    <n v="5"/>
  </r>
  <r>
    <s v="1071"/>
    <x v="75"/>
    <x v="335"/>
    <x v="41"/>
    <s v="Robert King"/>
    <s v="Refrescos Americanas LTDA"/>
    <x v="0"/>
    <s v="USA"/>
    <s v="ID"/>
    <s v="Boise"/>
    <n v="4.5"/>
    <n v="8"/>
  </r>
  <r>
    <s v="1071"/>
    <x v="75"/>
    <x v="195"/>
    <x v="41"/>
    <s v="Nancy Davolio"/>
    <s v="Refrescos Americanas LTDA"/>
    <x v="0"/>
    <s v="USA"/>
    <s v="ID"/>
    <s v="Boise"/>
    <n v="3.6"/>
    <n v="15"/>
  </r>
  <r>
    <s v="1071"/>
    <x v="75"/>
    <x v="195"/>
    <x v="17"/>
    <s v="Nancy Davolio"/>
    <s v="Gai pâturage"/>
    <x v="0"/>
    <s v="USA"/>
    <s v="ID"/>
    <s v="Boise"/>
    <n v="44"/>
    <n v="12"/>
  </r>
  <r>
    <s v="1071"/>
    <x v="75"/>
    <x v="309"/>
    <x v="13"/>
    <s v="Janet Leverling"/>
    <s v="Bigfoot Breweries"/>
    <x v="1"/>
    <s v="USA"/>
    <s v="ID"/>
    <s v="Boise"/>
    <n v="18"/>
    <n v="8"/>
  </r>
  <r>
    <s v="1071"/>
    <x v="75"/>
    <x v="309"/>
    <x v="18"/>
    <s v="Janet Leverling"/>
    <s v="Aux joyeux ecclésiastiques"/>
    <x v="1"/>
    <s v="USA"/>
    <s v="ID"/>
    <s v="Boise"/>
    <n v="263.5"/>
    <n v="8"/>
  </r>
  <r>
    <s v="1071"/>
    <x v="75"/>
    <x v="195"/>
    <x v="51"/>
    <s v="Nancy Davolio"/>
    <s v="Norske Meierier"/>
    <x v="0"/>
    <s v="USA"/>
    <s v="ID"/>
    <s v="Boise"/>
    <n v="17.2"/>
    <n v="15"/>
  </r>
  <r>
    <s v="1071"/>
    <x v="75"/>
    <x v="82"/>
    <x v="16"/>
    <s v="Andrew Fuller"/>
    <s v="Plutzer Lebensmittelgroßmärkte AG"/>
    <x v="1"/>
    <s v="USA"/>
    <s v="ID"/>
    <s v="Boise"/>
    <n v="13"/>
    <n v="18"/>
  </r>
  <r>
    <s v="1071"/>
    <x v="75"/>
    <x v="82"/>
    <x v="33"/>
    <s v="Andrew Fuller"/>
    <s v="Nord-Ost-Fisch Handelsgesellschaft mbH"/>
    <x v="1"/>
    <s v="USA"/>
    <s v="ID"/>
    <s v="Boise"/>
    <n v="25.89"/>
    <n v="15"/>
  </r>
  <r>
    <s v="1071"/>
    <x v="75"/>
    <x v="309"/>
    <x v="23"/>
    <s v="Janet Leverling"/>
    <s v="Specialty Biscuits, Ltd."/>
    <x v="1"/>
    <s v="USA"/>
    <s v="ID"/>
    <s v="Boise"/>
    <n v="9.1999999999999993"/>
    <n v="2"/>
  </r>
  <r>
    <s v="1071"/>
    <x v="75"/>
    <x v="195"/>
    <x v="31"/>
    <s v="Nancy Davolio"/>
    <s v="Plutzer Lebensmittelgroßmärkte AG"/>
    <x v="0"/>
    <s v="USA"/>
    <s v="ID"/>
    <s v="Boise"/>
    <n v="36.4"/>
    <n v="6"/>
  </r>
  <r>
    <s v="1022"/>
    <x v="76"/>
    <x v="372"/>
    <x v="27"/>
    <s v="Margaret Peacock"/>
    <s v="Plutzer Lebensmittelgroßmärkte AG"/>
    <x v="0"/>
    <s v="Spain"/>
    <m/>
    <s v="Madrid"/>
    <n v="6.2"/>
    <n v="6"/>
  </r>
  <r>
    <s v="1022"/>
    <x v="76"/>
    <x v="195"/>
    <x v="20"/>
    <s v="Anne Dodsworth"/>
    <s v="Bigfoot Breweries"/>
    <x v="0"/>
    <s v="Spain"/>
    <m/>
    <s v="Madrid"/>
    <n v="11.2"/>
    <n v="10"/>
  </r>
  <r>
    <s v="1022"/>
    <x v="76"/>
    <x v="373"/>
    <x v="26"/>
    <s v="Robert King"/>
    <s v="Lyngbysild"/>
    <x v="0"/>
    <s v="Spain"/>
    <m/>
    <s v="Madrid"/>
    <n v="12"/>
    <n v="9"/>
  </r>
  <r>
    <s v="1022"/>
    <x v="76"/>
    <x v="372"/>
    <x v="76"/>
    <s v="Margaret Peacock"/>
    <s v="New England Seafood Cannery"/>
    <x v="0"/>
    <s v="Spain"/>
    <m/>
    <s v="Madrid"/>
    <n v="14.7"/>
    <n v="4"/>
  </r>
  <r>
    <s v="1022"/>
    <x v="76"/>
    <x v="372"/>
    <x v="44"/>
    <s v="Margaret Peacock"/>
    <s v="Aux joyeux ecclésiastiques"/>
    <x v="0"/>
    <s v="Spain"/>
    <m/>
    <s v="Madrid"/>
    <n v="14.4"/>
    <n v="50"/>
  </r>
  <r>
    <s v="1022"/>
    <x v="76"/>
    <x v="374"/>
    <x v="0"/>
    <s v="Steven Buchanan"/>
    <s v="Ma Maison"/>
    <x v="0"/>
    <s v="Spain"/>
    <m/>
    <s v="Madrid"/>
    <n v="7.45"/>
    <n v="30"/>
  </r>
  <r>
    <s v="1022"/>
    <x v="76"/>
    <x v="374"/>
    <x v="6"/>
    <s v="Steven Buchanan"/>
    <s v="G'day, Mate"/>
    <x v="0"/>
    <s v="Spain"/>
    <m/>
    <s v="Madrid"/>
    <n v="32.799999999999997"/>
    <n v="25"/>
  </r>
  <r>
    <s v="1022"/>
    <x v="76"/>
    <x v="374"/>
    <x v="33"/>
    <s v="Steven Buchanan"/>
    <s v="Nord-Ost-Fisch Handelsgesellschaft mbH"/>
    <x v="0"/>
    <s v="Spain"/>
    <m/>
    <s v="Madrid"/>
    <n v="25.89"/>
    <n v="30"/>
  </r>
  <r>
    <s v="1022"/>
    <x v="76"/>
    <x v="195"/>
    <x v="41"/>
    <s v="Anne Dodsworth"/>
    <s v="Refrescos Americanas LTDA"/>
    <x v="0"/>
    <s v="Spain"/>
    <m/>
    <s v="Madrid"/>
    <n v="3.6"/>
    <n v="15"/>
  </r>
  <r>
    <s v="1022"/>
    <x v="76"/>
    <x v="313"/>
    <x v="23"/>
    <s v="Andrew Fuller"/>
    <s v="Specialty Biscuits, Ltd."/>
    <x v="0"/>
    <s v="Spain"/>
    <m/>
    <s v="Madrid"/>
    <n v="7.3"/>
    <n v="18"/>
  </r>
  <r>
    <s v="1022"/>
    <x v="76"/>
    <x v="372"/>
    <x v="52"/>
    <s v="Margaret Peacock"/>
    <s v="Heli Süßwaren GmbH &amp; Co. KG"/>
    <x v="0"/>
    <s v="Spain"/>
    <m/>
    <s v="Madrid"/>
    <n v="11.2"/>
    <n v="10"/>
  </r>
  <r>
    <s v="1022"/>
    <x v="76"/>
    <x v="375"/>
    <x v="27"/>
    <s v="Janet Leverling"/>
    <s v="Plutzer Lebensmittelgroßmärkte AG"/>
    <x v="0"/>
    <s v="Spain"/>
    <m/>
    <s v="Madrid"/>
    <n v="7.75"/>
    <n v="50"/>
  </r>
  <r>
    <s v="1022"/>
    <x v="76"/>
    <x v="373"/>
    <x v="72"/>
    <s v="Robert King"/>
    <s v="Zaanse Snoepfabriek"/>
    <x v="0"/>
    <s v="Spain"/>
    <m/>
    <s v="Madrid"/>
    <n v="9.5"/>
    <n v="6"/>
  </r>
  <r>
    <s v="1022"/>
    <x v="76"/>
    <x v="373"/>
    <x v="41"/>
    <s v="Robert King"/>
    <s v="Refrescos Americanas LTDA"/>
    <x v="0"/>
    <s v="Spain"/>
    <m/>
    <s v="Madrid"/>
    <n v="4.5"/>
    <n v="10"/>
  </r>
  <r>
    <s v="1022"/>
    <x v="76"/>
    <x v="313"/>
    <x v="10"/>
    <s v="Andrew Fuller"/>
    <s v="Norske Meierier"/>
    <x v="0"/>
    <s v="Spain"/>
    <m/>
    <s v="Madrid"/>
    <n v="2"/>
    <n v="50"/>
  </r>
  <r>
    <s v="1022"/>
    <x v="76"/>
    <x v="376"/>
    <x v="63"/>
    <s v="Margaret Peacock"/>
    <s v="Ma Maison"/>
    <x v="0"/>
    <s v="Spain"/>
    <m/>
    <s v="Madrid"/>
    <n v="24"/>
    <n v="6"/>
  </r>
  <r>
    <s v="1022"/>
    <x v="76"/>
    <x v="376"/>
    <x v="50"/>
    <s v="Margaret Peacock"/>
    <s v="G'day, Mate"/>
    <x v="0"/>
    <s v="Spain"/>
    <m/>
    <s v="Madrid"/>
    <n v="7"/>
    <n v="4"/>
  </r>
  <r>
    <s v="1022"/>
    <x v="76"/>
    <x v="376"/>
    <x v="57"/>
    <s v="Margaret Peacock"/>
    <s v="New England Seafood Cannery"/>
    <x v="0"/>
    <s v="Spain"/>
    <m/>
    <s v="Madrid"/>
    <n v="9.65"/>
    <n v="12"/>
  </r>
  <r>
    <s v="1022"/>
    <x v="76"/>
    <x v="373"/>
    <x v="35"/>
    <s v="Robert King"/>
    <s v="Gai pâturage"/>
    <x v="0"/>
    <s v="Spain"/>
    <m/>
    <s v="Madrid"/>
    <n v="34"/>
    <n v="12"/>
  </r>
  <r>
    <s v="1001"/>
    <x v="77"/>
    <x v="129"/>
    <x v="25"/>
    <s v="Janet Leverling"/>
    <s v="Escargots Nouveaux"/>
    <x v="1"/>
    <s v="Germany"/>
    <m/>
    <s v="Berlin"/>
    <n v="13.25"/>
    <n v="40"/>
  </r>
  <r>
    <s v="1001"/>
    <x v="77"/>
    <x v="6"/>
    <x v="40"/>
    <s v="Margaret Peacock"/>
    <s v="Karkki Oy"/>
    <x v="0"/>
    <s v="Germany"/>
    <m/>
    <s v="Berlin"/>
    <n v="18"/>
    <n v="15"/>
  </r>
  <r>
    <s v="1001"/>
    <x v="77"/>
    <x v="6"/>
    <x v="66"/>
    <s v="Margaret Peacock"/>
    <s v="Exotic Liquids"/>
    <x v="0"/>
    <s v="Germany"/>
    <m/>
    <s v="Berlin"/>
    <n v="10"/>
    <n v="6"/>
  </r>
  <r>
    <s v="1001"/>
    <x v="77"/>
    <x v="89"/>
    <x v="70"/>
    <s v="Nancy Davolio"/>
    <s v="Grandma Kelly's Homestead"/>
    <x v="1"/>
    <s v="Germany"/>
    <m/>
    <s v="Berlin"/>
    <n v="25"/>
    <n v="16"/>
  </r>
  <r>
    <s v="1001"/>
    <x v="77"/>
    <x v="207"/>
    <x v="31"/>
    <s v="Michael Suyama"/>
    <s v="Plutzer Lebensmittelgroßmärkte AG"/>
    <x v="0"/>
    <s v="Germany"/>
    <m/>
    <s v="Berlin"/>
    <n v="45.6"/>
    <n v="15"/>
  </r>
  <r>
    <s v="1001"/>
    <x v="77"/>
    <x v="207"/>
    <x v="44"/>
    <s v="Michael Suyama"/>
    <s v="Aux joyeux ecclésiastiques"/>
    <x v="0"/>
    <s v="Germany"/>
    <m/>
    <s v="Berlin"/>
    <n v="18"/>
    <n v="21"/>
  </r>
  <r>
    <s v="1001"/>
    <x v="77"/>
    <x v="207"/>
    <x v="26"/>
    <s v="Michael Suyama"/>
    <s v="Lyngbysild"/>
    <x v="0"/>
    <s v="Germany"/>
    <m/>
    <s v="Berlin"/>
    <n v="12"/>
    <n v="2"/>
  </r>
  <r>
    <s v="1001"/>
    <x v="77"/>
    <x v="129"/>
    <x v="51"/>
    <s v="Janet Leverling"/>
    <s v="Norske Meierier"/>
    <x v="1"/>
    <s v="Germany"/>
    <m/>
    <s v="Berlin"/>
    <n v="21.5"/>
    <n v="20"/>
  </r>
  <r>
    <s v="1001"/>
    <x v="77"/>
    <x v="123"/>
    <x v="28"/>
    <s v="Margaret Peacock"/>
    <s v="Pavlova, Ltd."/>
    <x v="0"/>
    <s v="Germany"/>
    <m/>
    <s v="Berlin"/>
    <n v="43.9"/>
    <n v="20"/>
  </r>
  <r>
    <s v="1001"/>
    <x v="77"/>
    <x v="271"/>
    <x v="17"/>
    <s v="Nancy Davolio"/>
    <s v="Gai pâturage"/>
    <x v="1"/>
    <s v="Germany"/>
    <m/>
    <s v="Berlin"/>
    <n v="55"/>
    <n v="15"/>
  </r>
  <r>
    <s v="1001"/>
    <x v="77"/>
    <x v="271"/>
    <x v="16"/>
    <s v="Nancy Davolio"/>
    <s v="Plutzer Lebensmittelgroßmärkte AG"/>
    <x v="1"/>
    <s v="Germany"/>
    <m/>
    <s v="Berlin"/>
    <n v="13"/>
    <n v="2"/>
  </r>
  <r>
    <s v="1001"/>
    <x v="77"/>
    <x v="89"/>
    <x v="31"/>
    <s v="Nancy Davolio"/>
    <s v="Plutzer Lebensmittelgroßmärkte AG"/>
    <x v="1"/>
    <s v="Germany"/>
    <m/>
    <s v="Berlin"/>
    <n v="45.6"/>
    <n v="2"/>
  </r>
  <r>
    <s v="1039"/>
    <x v="78"/>
    <x v="55"/>
    <x v="30"/>
    <s v="Andrew Fuller"/>
    <s v="Formaggi Fortini s.r.l."/>
    <x v="1"/>
    <s v="Germany"/>
    <m/>
    <s v="Brandenburg"/>
    <n v="34.799999999999997"/>
    <n v="10"/>
  </r>
  <r>
    <s v="1039"/>
    <x v="78"/>
    <x v="317"/>
    <x v="40"/>
    <s v="Margaret Peacock"/>
    <s v="Karkki Oy"/>
    <x v="1"/>
    <s v="Germany"/>
    <m/>
    <s v="Brandenburg"/>
    <n v="18"/>
    <n v="10"/>
  </r>
  <r>
    <s v="1039"/>
    <x v="78"/>
    <x v="2"/>
    <x v="40"/>
    <s v="Laura Callahan"/>
    <s v="Karkki Oy"/>
    <x v="0"/>
    <s v="Germany"/>
    <m/>
    <s v="Brandenburg"/>
    <n v="14.4"/>
    <n v="6"/>
  </r>
  <r>
    <s v="1039"/>
    <x v="78"/>
    <x v="243"/>
    <x v="4"/>
    <s v="Michael Suyama"/>
    <s v="Forêts d'érables"/>
    <x v="1"/>
    <s v="Germany"/>
    <m/>
    <s v="Brandenburg"/>
    <n v="28.5"/>
    <n v="30"/>
  </r>
  <r>
    <s v="1039"/>
    <x v="78"/>
    <x v="317"/>
    <x v="22"/>
    <s v="Margaret Peacock"/>
    <s v="Pasta Buttini s.r.l."/>
    <x v="1"/>
    <s v="Germany"/>
    <m/>
    <s v="Brandenburg"/>
    <n v="38"/>
    <n v="15"/>
  </r>
  <r>
    <s v="1039"/>
    <x v="78"/>
    <x v="317"/>
    <x v="17"/>
    <s v="Margaret Peacock"/>
    <s v="Gai pâturage"/>
    <x v="1"/>
    <s v="Germany"/>
    <m/>
    <s v="Brandenburg"/>
    <n v="55"/>
    <n v="6"/>
  </r>
  <r>
    <s v="1039"/>
    <x v="78"/>
    <x v="2"/>
    <x v="57"/>
    <s v="Laura Callahan"/>
    <s v="New England Seafood Cannery"/>
    <x v="0"/>
    <s v="Germany"/>
    <m/>
    <s v="Brandenburg"/>
    <n v="7.7"/>
    <n v="20"/>
  </r>
  <r>
    <s v="1039"/>
    <x v="78"/>
    <x v="363"/>
    <x v="10"/>
    <s v="Nancy Davolio"/>
    <s v="Norske Meierier"/>
    <x v="0"/>
    <s v="Germany"/>
    <m/>
    <s v="Brandenburg"/>
    <n v="2"/>
    <n v="12"/>
  </r>
  <r>
    <s v="1039"/>
    <x v="78"/>
    <x v="55"/>
    <x v="9"/>
    <s v="Andrew Fuller"/>
    <s v="Forêts d'érables"/>
    <x v="1"/>
    <s v="Germany"/>
    <m/>
    <s v="Brandenburg"/>
    <n v="49.3"/>
    <n v="2"/>
  </r>
  <r>
    <s v="1039"/>
    <x v="78"/>
    <x v="78"/>
    <x v="47"/>
    <s v="Margaret Peacock"/>
    <s v="Pavlova, Ltd."/>
    <x v="0"/>
    <s v="Germany"/>
    <m/>
    <s v="Brandenburg"/>
    <n v="15"/>
    <n v="20"/>
  </r>
  <r>
    <s v="1039"/>
    <x v="78"/>
    <x v="78"/>
    <x v="55"/>
    <s v="Margaret Peacock"/>
    <s v="PB Knäckebröd AB"/>
    <x v="0"/>
    <s v="Germany"/>
    <m/>
    <s v="Brandenburg"/>
    <n v="9"/>
    <n v="10"/>
  </r>
  <r>
    <s v="1039"/>
    <x v="78"/>
    <x v="78"/>
    <x v="51"/>
    <s v="Margaret Peacock"/>
    <s v="Norske Meierier"/>
    <x v="0"/>
    <s v="Germany"/>
    <m/>
    <s v="Brandenburg"/>
    <n v="21.5"/>
    <n v="15"/>
  </r>
  <r>
    <s v="1039"/>
    <x v="78"/>
    <x v="78"/>
    <x v="23"/>
    <s v="Margaret Peacock"/>
    <s v="Specialty Biscuits, Ltd."/>
    <x v="0"/>
    <s v="Germany"/>
    <m/>
    <s v="Brandenburg"/>
    <n v="9.1999999999999993"/>
    <n v="5"/>
  </r>
  <r>
    <s v="1039"/>
    <x v="78"/>
    <x v="274"/>
    <x v="35"/>
    <s v="Anne Dodsworth"/>
    <s v="Gai pâturage"/>
    <x v="1"/>
    <s v="Germany"/>
    <m/>
    <s v="Brandenburg"/>
    <n v="34"/>
    <n v="21"/>
  </r>
  <r>
    <s v="1039"/>
    <x v="78"/>
    <x v="363"/>
    <x v="51"/>
    <s v="Nancy Davolio"/>
    <s v="Norske Meierier"/>
    <x v="0"/>
    <s v="Germany"/>
    <m/>
    <s v="Brandenburg"/>
    <n v="17.2"/>
    <n v="12"/>
  </r>
  <r>
    <s v="1039"/>
    <x v="78"/>
    <x v="243"/>
    <x v="6"/>
    <s v="Michael Suyama"/>
    <s v="G'day, Mate"/>
    <x v="1"/>
    <s v="Germany"/>
    <m/>
    <s v="Brandenburg"/>
    <n v="32.799999999999997"/>
    <n v="2"/>
  </r>
  <r>
    <s v="1039"/>
    <x v="78"/>
    <x v="274"/>
    <x v="54"/>
    <s v="Anne Dodsworth"/>
    <s v="Mayumi's"/>
    <x v="1"/>
    <s v="Germany"/>
    <m/>
    <s v="Brandenburg"/>
    <n v="6"/>
    <n v="10"/>
  </r>
  <r>
    <s v="1039"/>
    <x v="78"/>
    <x v="274"/>
    <x v="2"/>
    <s v="Anne Dodsworth"/>
    <s v="Grandma Kelly's Homestead"/>
    <x v="1"/>
    <s v="Germany"/>
    <m/>
    <s v="Brandenburg"/>
    <n v="40"/>
    <n v="20"/>
  </r>
  <r>
    <s v="1039"/>
    <x v="78"/>
    <x v="108"/>
    <x v="55"/>
    <s v="Margaret Peacock"/>
    <s v="PB Knäckebröd AB"/>
    <x v="0"/>
    <s v="Germany"/>
    <m/>
    <s v="Brandenburg"/>
    <n v="9"/>
    <n v="5"/>
  </r>
  <r>
    <s v="1039"/>
    <x v="78"/>
    <x v="153"/>
    <x v="47"/>
    <s v="Margaret Peacock"/>
    <s v="Pavlova, Ltd."/>
    <x v="0"/>
    <s v="Germany"/>
    <m/>
    <s v="Brandenburg"/>
    <n v="12"/>
    <n v="30"/>
  </r>
  <r>
    <s v="1039"/>
    <x v="78"/>
    <x v="153"/>
    <x v="20"/>
    <s v="Margaret Peacock"/>
    <s v="Bigfoot Breweries"/>
    <x v="0"/>
    <s v="Germany"/>
    <m/>
    <s v="Brandenburg"/>
    <n v="11.2"/>
    <n v="14"/>
  </r>
  <r>
    <s v="1039"/>
    <x v="78"/>
    <x v="274"/>
    <x v="8"/>
    <s v="Anne Dodsworth"/>
    <s v="Exotic Liquids"/>
    <x v="1"/>
    <s v="Germany"/>
    <m/>
    <s v="Brandenburg"/>
    <n v="19"/>
    <n v="10"/>
  </r>
  <r>
    <s v="1039"/>
    <x v="78"/>
    <x v="137"/>
    <x v="13"/>
    <s v="Janet Leverling"/>
    <s v="Bigfoot Breweries"/>
    <x v="0"/>
    <s v="Germany"/>
    <m/>
    <s v="Brandenburg"/>
    <n v="14.4"/>
    <n v="10"/>
  </r>
  <r>
    <s v="1055"/>
    <x v="79"/>
    <x v="346"/>
    <x v="40"/>
    <s v="Laura Callahan"/>
    <s v="Karkki Oy"/>
    <x v="1"/>
    <s v="USA"/>
    <s v="AK"/>
    <s v="Anchorage"/>
    <n v="18"/>
    <n v="10"/>
  </r>
  <r>
    <s v="1055"/>
    <x v="79"/>
    <x v="377"/>
    <x v="7"/>
    <s v="Janet Leverling"/>
    <s v="Specialty Biscuits, Ltd."/>
    <x v="0"/>
    <s v="USA"/>
    <s v="AK"/>
    <s v="Anchorage"/>
    <n v="8"/>
    <n v="12"/>
  </r>
  <r>
    <s v="1055"/>
    <x v="79"/>
    <x v="99"/>
    <x v="54"/>
    <s v="Margaret Peacock"/>
    <s v="Mayumi's"/>
    <x v="1"/>
    <s v="USA"/>
    <s v="AK"/>
    <s v="Anchorage"/>
    <n v="6"/>
    <n v="5"/>
  </r>
  <r>
    <s v="1055"/>
    <x v="79"/>
    <x v="216"/>
    <x v="17"/>
    <s v="Robert King"/>
    <s v="Gai pâturage"/>
    <x v="0"/>
    <s v="USA"/>
    <s v="AK"/>
    <s v="Anchorage"/>
    <n v="55"/>
    <n v="2"/>
  </r>
  <r>
    <s v="1055"/>
    <x v="79"/>
    <x v="377"/>
    <x v="68"/>
    <s v="Janet Leverling"/>
    <s v="Mayumi's"/>
    <x v="0"/>
    <s v="USA"/>
    <s v="AK"/>
    <s v="Anchorage"/>
    <n v="18.600000000000001"/>
    <n v="12"/>
  </r>
  <r>
    <s v="1055"/>
    <x v="79"/>
    <x v="150"/>
    <x v="64"/>
    <s v="Robert King"/>
    <s v="New Orleans Cajun Delights"/>
    <x v="1"/>
    <s v="USA"/>
    <s v="AK"/>
    <s v="Anchorage"/>
    <n v="21.35"/>
    <n v="20"/>
  </r>
  <r>
    <s v="1055"/>
    <x v="79"/>
    <x v="346"/>
    <x v="16"/>
    <s v="Laura Callahan"/>
    <s v="Plutzer Lebensmittelgroßmärkte AG"/>
    <x v="1"/>
    <s v="USA"/>
    <s v="AK"/>
    <s v="Anchorage"/>
    <n v="13"/>
    <n v="15"/>
  </r>
  <r>
    <s v="1055"/>
    <x v="79"/>
    <x v="150"/>
    <x v="30"/>
    <s v="Robert King"/>
    <s v="Formaggi Fortini s.r.l."/>
    <x v="1"/>
    <s v="USA"/>
    <s v="AK"/>
    <s v="Anchorage"/>
    <n v="34.799999999999997"/>
    <n v="5"/>
  </r>
  <r>
    <s v="1055"/>
    <x v="79"/>
    <x v="150"/>
    <x v="36"/>
    <s v="Robert King"/>
    <s v="Grandma Kelly's Homestead"/>
    <x v="1"/>
    <s v="USA"/>
    <s v="AK"/>
    <s v="Anchorage"/>
    <n v="30"/>
    <n v="6"/>
  </r>
  <r>
    <s v="1055"/>
    <x v="79"/>
    <x v="346"/>
    <x v="59"/>
    <s v="Laura Callahan"/>
    <s v="Specialty Biscuits, Ltd."/>
    <x v="1"/>
    <s v="USA"/>
    <s v="AK"/>
    <s v="Anchorage"/>
    <n v="81"/>
    <n v="15"/>
  </r>
  <r>
    <s v="1055"/>
    <x v="79"/>
    <x v="346"/>
    <x v="56"/>
    <s v="Laura Callahan"/>
    <s v="Las Cabras"/>
    <x v="1"/>
    <s v="USA"/>
    <s v="AK"/>
    <s v="Anchorage"/>
    <n v="21"/>
    <n v="30"/>
  </r>
  <r>
    <s v="1010"/>
    <x v="80"/>
    <x v="351"/>
    <x v="15"/>
    <s v="Margaret Peacock"/>
    <s v="Pavlova, Ltd."/>
    <x v="0"/>
    <s v="Canada"/>
    <s v="BC"/>
    <s v="Tsawassen"/>
    <n v="31.2"/>
    <n v="50"/>
  </r>
  <r>
    <s v="1010"/>
    <x v="80"/>
    <x v="22"/>
    <x v="2"/>
    <s v="Nancy Davolio"/>
    <s v="Grandma Kelly's Homestead"/>
    <x v="1"/>
    <s v="Canada"/>
    <s v="BC"/>
    <s v="Tsawassen"/>
    <n v="40"/>
    <n v="16"/>
  </r>
  <r>
    <s v="1010"/>
    <x v="80"/>
    <x v="22"/>
    <x v="27"/>
    <s v="Nancy Davolio"/>
    <s v="Plutzer Lebensmittelgroßmärkte AG"/>
    <x v="1"/>
    <s v="Canada"/>
    <s v="BC"/>
    <s v="Tsawassen"/>
    <n v="7.75"/>
    <n v="10"/>
  </r>
  <r>
    <s v="1010"/>
    <x v="80"/>
    <x v="291"/>
    <x v="47"/>
    <s v="Margaret Peacock"/>
    <s v="Pavlova, Ltd."/>
    <x v="0"/>
    <s v="Canada"/>
    <s v="BC"/>
    <s v="Tsawassen"/>
    <n v="12"/>
    <n v="30"/>
  </r>
  <r>
    <s v="1010"/>
    <x v="80"/>
    <x v="378"/>
    <x v="57"/>
    <s v="Anne Dodsworth"/>
    <s v="New England Seafood Cannery"/>
    <x v="0"/>
    <s v="Canada"/>
    <s v="BC"/>
    <s v="Tsawassen"/>
    <n v="7.7"/>
    <n v="25"/>
  </r>
  <r>
    <s v="1010"/>
    <x v="80"/>
    <x v="378"/>
    <x v="29"/>
    <s v="Anne Dodsworth"/>
    <s v="Leka Trading"/>
    <x v="0"/>
    <s v="Canada"/>
    <s v="BC"/>
    <s v="Tsawassen"/>
    <n v="15.5"/>
    <n v="40"/>
  </r>
  <r>
    <s v="1010"/>
    <x v="80"/>
    <x v="378"/>
    <x v="17"/>
    <s v="Anne Dodsworth"/>
    <s v="Gai pâturage"/>
    <x v="0"/>
    <s v="Canada"/>
    <s v="BC"/>
    <s v="Tsawassen"/>
    <n v="44"/>
    <n v="9"/>
  </r>
  <r>
    <s v="1010"/>
    <x v="80"/>
    <x v="291"/>
    <x v="63"/>
    <s v="Margaret Peacock"/>
    <s v="Ma Maison"/>
    <x v="0"/>
    <s v="Canada"/>
    <s v="BC"/>
    <s v="Tsawassen"/>
    <n v="19.2"/>
    <n v="15"/>
  </r>
  <r>
    <s v="1010"/>
    <x v="80"/>
    <x v="291"/>
    <x v="43"/>
    <s v="Margaret Peacock"/>
    <s v="Tokyo Traders"/>
    <x v="0"/>
    <s v="Canada"/>
    <s v="BC"/>
    <s v="Tsawassen"/>
    <n v="24.8"/>
    <n v="16"/>
  </r>
  <r>
    <s v="1010"/>
    <x v="80"/>
    <x v="113"/>
    <x v="34"/>
    <s v="Michael Suyama"/>
    <s v="G'day, Mate"/>
    <x v="1"/>
    <s v="Canada"/>
    <s v="BC"/>
    <s v="Tsawassen"/>
    <n v="53"/>
    <n v="24"/>
  </r>
  <r>
    <s v="1010"/>
    <x v="80"/>
    <x v="351"/>
    <x v="72"/>
    <s v="Margaret Peacock"/>
    <s v="Zaanse Snoepfabriek"/>
    <x v="0"/>
    <s v="Canada"/>
    <s v="BC"/>
    <s v="Tsawassen"/>
    <n v="7.6"/>
    <n v="30"/>
  </r>
  <r>
    <s v="1010"/>
    <x v="80"/>
    <x v="351"/>
    <x v="76"/>
    <s v="Margaret Peacock"/>
    <s v="New England Seafood Cannery"/>
    <x v="0"/>
    <s v="Canada"/>
    <s v="BC"/>
    <s v="Tsawassen"/>
    <n v="14.7"/>
    <n v="50"/>
  </r>
  <r>
    <s v="1010"/>
    <x v="80"/>
    <x v="291"/>
    <x v="9"/>
    <s v="Margaret Peacock"/>
    <s v="Forêts d'érables"/>
    <x v="0"/>
    <s v="Canada"/>
    <s v="BC"/>
    <s v="Tsawassen"/>
    <n v="39.4"/>
    <n v="20"/>
  </r>
  <r>
    <s v="1010"/>
    <x v="80"/>
    <x v="378"/>
    <x v="17"/>
    <s v="Janet Leverling"/>
    <s v="Gai pâturage"/>
    <x v="0"/>
    <s v="Canada"/>
    <s v="BC"/>
    <s v="Tsawassen"/>
    <n v="44"/>
    <n v="16"/>
  </r>
  <r>
    <s v="1010"/>
    <x v="80"/>
    <x v="170"/>
    <x v="36"/>
    <s v="Andrew Fuller"/>
    <s v="Grandma Kelly's Homestead"/>
    <x v="1"/>
    <s v="Canada"/>
    <s v="BC"/>
    <s v="Tsawassen"/>
    <n v="30"/>
    <n v="20"/>
  </r>
  <r>
    <s v="1010"/>
    <x v="80"/>
    <x v="204"/>
    <x v="9"/>
    <s v="Nancy Davolio"/>
    <s v="Forêts d'érables"/>
    <x v="1"/>
    <s v="Canada"/>
    <s v="BC"/>
    <s v="Tsawassen"/>
    <n v="49.3"/>
    <n v="21"/>
  </r>
  <r>
    <s v="1010"/>
    <x v="80"/>
    <x v="239"/>
    <x v="9"/>
    <s v="Andrew Fuller"/>
    <s v="Forêts d'érables"/>
    <x v="1"/>
    <s v="Canada"/>
    <s v="BC"/>
    <s v="Tsawassen"/>
    <n v="49.3"/>
    <n v="60"/>
  </r>
  <r>
    <s v="1010"/>
    <x v="80"/>
    <x v="379"/>
    <x v="45"/>
    <s v="Janet Leverling"/>
    <s v="Leka Trading"/>
    <x v="0"/>
    <s v="Canada"/>
    <s v="BC"/>
    <s v="Tsawassen"/>
    <n v="11.2"/>
    <n v="20"/>
  </r>
  <r>
    <s v="1010"/>
    <x v="80"/>
    <x v="275"/>
    <x v="46"/>
    <s v="Janet Leverling"/>
    <s v="Exotic Liquids"/>
    <x v="1"/>
    <s v="Canada"/>
    <s v="BC"/>
    <s v="Tsawassen"/>
    <n v="18"/>
    <n v="60"/>
  </r>
  <r>
    <s v="1010"/>
    <x v="80"/>
    <x v="379"/>
    <x v="52"/>
    <s v="Janet Leverling"/>
    <s v="Heli Süßwaren GmbH &amp; Co. KG"/>
    <x v="0"/>
    <s v="Canada"/>
    <s v="BC"/>
    <s v="Tsawassen"/>
    <n v="11.2"/>
    <n v="60"/>
  </r>
  <r>
    <s v="1010"/>
    <x v="80"/>
    <x v="170"/>
    <x v="38"/>
    <s v="Andrew Fuller"/>
    <s v="Leka Trading"/>
    <x v="1"/>
    <s v="Canada"/>
    <s v="BC"/>
    <s v="Tsawassen"/>
    <n v="46"/>
    <n v="9"/>
  </r>
  <r>
    <s v="1010"/>
    <x v="80"/>
    <x v="275"/>
    <x v="35"/>
    <s v="Janet Leverling"/>
    <s v="Gai pâturage"/>
    <x v="1"/>
    <s v="Canada"/>
    <s v="BC"/>
    <s v="Tsawassen"/>
    <n v="34"/>
    <n v="25"/>
  </r>
  <r>
    <s v="1010"/>
    <x v="80"/>
    <x v="239"/>
    <x v="70"/>
    <s v="Andrew Fuller"/>
    <s v="Grandma Kelly's Homestead"/>
    <x v="1"/>
    <s v="Canada"/>
    <s v="BC"/>
    <s v="Tsawassen"/>
    <n v="25"/>
    <n v="12"/>
  </r>
  <r>
    <s v="1010"/>
    <x v="80"/>
    <x v="304"/>
    <x v="32"/>
    <s v="Robert King"/>
    <s v="Specialty Biscuits, Ltd."/>
    <x v="1"/>
    <s v="Canada"/>
    <s v="BC"/>
    <s v="Tsawassen"/>
    <n v="12.5"/>
    <n v="42"/>
  </r>
  <r>
    <s v="1010"/>
    <x v="80"/>
    <x v="113"/>
    <x v="10"/>
    <s v="Michael Suyama"/>
    <s v="Norske Meierier"/>
    <x v="1"/>
    <s v="Canada"/>
    <s v="BC"/>
    <s v="Tsawassen"/>
    <n v="2.5"/>
    <n v="15"/>
  </r>
  <r>
    <s v="1010"/>
    <x v="80"/>
    <x v="210"/>
    <x v="22"/>
    <s v="Michael Suyama"/>
    <s v="Pasta Buttini s.r.l."/>
    <x v="1"/>
    <s v="Canada"/>
    <s v="BC"/>
    <s v="Tsawassen"/>
    <n v="38"/>
    <n v="18"/>
  </r>
  <r>
    <s v="1010"/>
    <x v="80"/>
    <x v="239"/>
    <x v="15"/>
    <s v="Andrew Fuller"/>
    <s v="Pavlova, Ltd."/>
    <x v="1"/>
    <s v="Canada"/>
    <s v="BC"/>
    <s v="Tsawassen"/>
    <n v="39"/>
    <n v="6"/>
  </r>
  <r>
    <s v="1010"/>
    <x v="80"/>
    <x v="83"/>
    <x v="66"/>
    <s v="Janet Leverling"/>
    <s v="Exotic Liquids"/>
    <x v="0"/>
    <s v="Canada"/>
    <s v="BC"/>
    <s v="Tsawassen"/>
    <n v="10"/>
    <n v="20"/>
  </r>
  <r>
    <s v="1010"/>
    <x v="80"/>
    <x v="239"/>
    <x v="43"/>
    <s v="Andrew Fuller"/>
    <s v="Tokyo Traders"/>
    <x v="1"/>
    <s v="Canada"/>
    <s v="BC"/>
    <s v="Tsawassen"/>
    <n v="31"/>
    <n v="30"/>
  </r>
  <r>
    <s v="1010"/>
    <x v="80"/>
    <x v="83"/>
    <x v="35"/>
    <s v="Janet Leverling"/>
    <s v="Gai pâturage"/>
    <x v="0"/>
    <s v="Canada"/>
    <s v="BC"/>
    <s v="Tsawassen"/>
    <n v="34"/>
    <n v="50"/>
  </r>
  <r>
    <s v="1010"/>
    <x v="80"/>
    <x v="83"/>
    <x v="30"/>
    <s v="Janet Leverling"/>
    <s v="Formaggi Fortini s.r.l."/>
    <x v="0"/>
    <s v="Canada"/>
    <s v="BC"/>
    <s v="Tsawassen"/>
    <n v="34.799999999999997"/>
    <n v="35"/>
  </r>
  <r>
    <s v="1010"/>
    <x v="80"/>
    <x v="210"/>
    <x v="29"/>
    <s v="Michael Suyama"/>
    <s v="Leka Trading"/>
    <x v="1"/>
    <s v="Canada"/>
    <s v="BC"/>
    <s v="Tsawassen"/>
    <n v="19.45"/>
    <n v="18"/>
  </r>
  <r>
    <s v="1010"/>
    <x v="80"/>
    <x v="210"/>
    <x v="56"/>
    <s v="Michael Suyama"/>
    <s v="Las Cabras"/>
    <x v="1"/>
    <s v="Canada"/>
    <s v="BC"/>
    <s v="Tsawassen"/>
    <n v="21"/>
    <n v="5"/>
  </r>
  <r>
    <s v="1010"/>
    <x v="80"/>
    <x v="204"/>
    <x v="41"/>
    <s v="Nancy Davolio"/>
    <s v="Refrescos Americanas LTDA"/>
    <x v="1"/>
    <s v="Canada"/>
    <s v="BC"/>
    <s v="Tsawassen"/>
    <n v="4.5"/>
    <n v="30"/>
  </r>
  <r>
    <s v="1010"/>
    <x v="80"/>
    <x v="378"/>
    <x v="10"/>
    <s v="Janet Leverling"/>
    <s v="Norske Meierier"/>
    <x v="0"/>
    <s v="Canada"/>
    <s v="BC"/>
    <s v="Tsawassen"/>
    <n v="2"/>
    <n v="49"/>
  </r>
  <r>
    <s v="1037"/>
    <x v="81"/>
    <x v="64"/>
    <x v="54"/>
    <s v="Nancy Davolio"/>
    <s v="Mayumi's"/>
    <x v="0"/>
    <s v="Ireland"/>
    <s v="Co. Cork"/>
    <s v="Cork"/>
    <n v="4.8"/>
    <n v="10"/>
  </r>
  <r>
    <s v="1037"/>
    <x v="81"/>
    <x v="380"/>
    <x v="10"/>
    <s v="Janet Leverling"/>
    <s v="Norske Meierier"/>
    <x v="0"/>
    <s v="Ireland"/>
    <s v="Co. Cork"/>
    <s v="Cork"/>
    <n v="2"/>
    <n v="20"/>
  </r>
  <r>
    <s v="1037"/>
    <x v="81"/>
    <x v="90"/>
    <x v="59"/>
    <s v="Laura Callahan"/>
    <s v="Specialty Biscuits, Ltd."/>
    <x v="0"/>
    <s v="Ireland"/>
    <s v="Co. Cork"/>
    <s v="Cork"/>
    <n v="81"/>
    <n v="21"/>
  </r>
  <r>
    <s v="1037"/>
    <x v="81"/>
    <x v="39"/>
    <x v="68"/>
    <s v="Janet Leverling"/>
    <s v="Mayumi's"/>
    <x v="0"/>
    <s v="Ireland"/>
    <s v="Co. Cork"/>
    <s v="Cork"/>
    <n v="18.600000000000001"/>
    <n v="15"/>
  </r>
  <r>
    <s v="1037"/>
    <x v="81"/>
    <x v="39"/>
    <x v="0"/>
    <s v="Janet Leverling"/>
    <s v="Ma Maison"/>
    <x v="0"/>
    <s v="Ireland"/>
    <s v="Co. Cork"/>
    <s v="Cork"/>
    <n v="5.9"/>
    <n v="10"/>
  </r>
  <r>
    <s v="1037"/>
    <x v="81"/>
    <x v="64"/>
    <x v="9"/>
    <s v="Nancy Davolio"/>
    <s v="Forêts d'érables"/>
    <x v="0"/>
    <s v="Ireland"/>
    <s v="Co. Cork"/>
    <s v="Cork"/>
    <n v="39.4"/>
    <n v="10"/>
  </r>
  <r>
    <s v="1037"/>
    <x v="81"/>
    <x v="152"/>
    <x v="0"/>
    <s v="Margaret Peacock"/>
    <s v="Ma Maison"/>
    <x v="0"/>
    <s v="Ireland"/>
    <s v="Co. Cork"/>
    <s v="Cork"/>
    <n v="7.45"/>
    <n v="4"/>
  </r>
  <r>
    <s v="1037"/>
    <x v="81"/>
    <x v="152"/>
    <x v="24"/>
    <s v="Margaret Peacock"/>
    <s v="Svensk Sjöföda AB"/>
    <x v="0"/>
    <s v="Ireland"/>
    <s v="Co. Cork"/>
    <s v="Cork"/>
    <n v="15"/>
    <n v="30"/>
  </r>
  <r>
    <s v="1037"/>
    <x v="81"/>
    <x v="380"/>
    <x v="15"/>
    <s v="Janet Leverling"/>
    <s v="Pavlova, Ltd."/>
    <x v="0"/>
    <s v="Ireland"/>
    <s v="Co. Cork"/>
    <s v="Cork"/>
    <n v="31.2"/>
    <n v="2"/>
  </r>
  <r>
    <s v="1008"/>
    <x v="82"/>
    <x v="311"/>
    <x v="27"/>
    <s v="Margaret Peacock"/>
    <s v="Plutzer Lebensmittelgroßmärkte AG"/>
    <x v="0"/>
    <s v="Spain"/>
    <m/>
    <s v="Madrid"/>
    <n v="6.2"/>
    <n v="50"/>
  </r>
  <r>
    <s v="1008"/>
    <x v="82"/>
    <x v="311"/>
    <x v="53"/>
    <s v="Margaret Peacock"/>
    <s v="Pasta Buttini s.r.l."/>
    <x v="0"/>
    <s v="Spain"/>
    <m/>
    <s v="Madrid"/>
    <n v="15.6"/>
    <n v="16"/>
  </r>
  <r>
    <s v="1008"/>
    <x v="82"/>
    <x v="302"/>
    <x v="37"/>
    <s v="Margaret Peacock"/>
    <s v="Plutzer Lebensmittelgroßmärkte AG"/>
    <x v="1"/>
    <s v="Spain"/>
    <m/>
    <s v="Madrid"/>
    <n v="123.79"/>
    <n v="20"/>
  </r>
  <r>
    <s v="1008"/>
    <x v="82"/>
    <x v="302"/>
    <x v="15"/>
    <s v="Margaret Peacock"/>
    <s v="Pavlova, Ltd."/>
    <x v="1"/>
    <s v="Spain"/>
    <m/>
    <s v="Madrid"/>
    <n v="39"/>
    <n v="40"/>
  </r>
  <r>
    <s v="1008"/>
    <x v="82"/>
    <x v="147"/>
    <x v="50"/>
    <s v="Anne Dodsworth"/>
    <s v="G'day, Mate"/>
    <x v="1"/>
    <s v="Spain"/>
    <m/>
    <s v="Madrid"/>
    <n v="7"/>
    <n v="40"/>
  </r>
  <r>
    <s v="1008"/>
    <x v="82"/>
    <x v="311"/>
    <x v="3"/>
    <s v="Margaret Peacock"/>
    <s v="New Orleans Cajun Delights"/>
    <x v="0"/>
    <s v="Spain"/>
    <m/>
    <s v="Madrid"/>
    <n v="17.600000000000001"/>
    <n v="24"/>
  </r>
  <r>
    <s v="1011"/>
    <x v="83"/>
    <x v="381"/>
    <x v="13"/>
    <s v="Margaret Peacock"/>
    <s v="Bigfoot Breweries"/>
    <x v="0"/>
    <s v="UK"/>
    <m/>
    <s v="London"/>
    <n v="18"/>
    <n v="20"/>
  </r>
  <r>
    <s v="1011"/>
    <x v="83"/>
    <x v="381"/>
    <x v="53"/>
    <s v="Margaret Peacock"/>
    <s v="Pasta Buttini s.r.l."/>
    <x v="0"/>
    <s v="UK"/>
    <m/>
    <s v="London"/>
    <n v="19.5"/>
    <n v="6"/>
  </r>
  <r>
    <s v="1011"/>
    <x v="83"/>
    <x v="382"/>
    <x v="9"/>
    <s v="Michael Suyama"/>
    <s v="Forêts d'érables"/>
    <x v="0"/>
    <s v="UK"/>
    <m/>
    <s v="London"/>
    <n v="49.3"/>
    <n v="10"/>
  </r>
  <r>
    <s v="1011"/>
    <x v="83"/>
    <x v="383"/>
    <x v="49"/>
    <s v="Michael Suyama"/>
    <s v="Karkki Oy"/>
    <x v="0"/>
    <s v="UK"/>
    <m/>
    <s v="London"/>
    <n v="20"/>
    <n v="6"/>
  </r>
  <r>
    <s v="1011"/>
    <x v="83"/>
    <x v="383"/>
    <x v="10"/>
    <s v="Michael Suyama"/>
    <s v="Norske Meierier"/>
    <x v="0"/>
    <s v="UK"/>
    <m/>
    <s v="London"/>
    <n v="2.5"/>
    <n v="15"/>
  </r>
  <r>
    <s v="1011"/>
    <x v="83"/>
    <x v="383"/>
    <x v="7"/>
    <s v="Michael Suyama"/>
    <s v="Specialty Biscuits, Ltd."/>
    <x v="0"/>
    <s v="UK"/>
    <m/>
    <s v="London"/>
    <n v="10"/>
    <n v="15"/>
  </r>
  <r>
    <s v="1011"/>
    <x v="83"/>
    <x v="128"/>
    <x v="54"/>
    <s v="Margaret Peacock"/>
    <s v="Mayumi's"/>
    <x v="1"/>
    <s v="UK"/>
    <m/>
    <s v="London"/>
    <n v="6"/>
    <n v="15"/>
  </r>
  <r>
    <s v="1011"/>
    <x v="83"/>
    <x v="1"/>
    <x v="36"/>
    <s v="Andrew Fuller"/>
    <s v="Grandma Kelly's Homestead"/>
    <x v="0"/>
    <s v="UK"/>
    <m/>
    <s v="London"/>
    <n v="24"/>
    <n v="30"/>
  </r>
  <r>
    <s v="1011"/>
    <x v="83"/>
    <x v="1"/>
    <x v="22"/>
    <s v="Andrew Fuller"/>
    <s v="Pasta Buttini s.r.l."/>
    <x v="0"/>
    <s v="UK"/>
    <m/>
    <s v="London"/>
    <n v="30.4"/>
    <n v="20"/>
  </r>
  <r>
    <s v="1011"/>
    <x v="83"/>
    <x v="173"/>
    <x v="38"/>
    <s v="Nancy Davolio"/>
    <s v="Leka Trading"/>
    <x v="1"/>
    <s v="UK"/>
    <m/>
    <s v="London"/>
    <n v="46"/>
    <n v="30"/>
  </r>
  <r>
    <s v="1011"/>
    <x v="83"/>
    <x v="384"/>
    <x v="47"/>
    <s v="Anne Dodsworth"/>
    <s v="Pavlova, Ltd."/>
    <x v="0"/>
    <s v="UK"/>
    <m/>
    <s v="London"/>
    <n v="15"/>
    <n v="7"/>
  </r>
  <r>
    <s v="1011"/>
    <x v="83"/>
    <x v="384"/>
    <x v="30"/>
    <s v="Anne Dodsworth"/>
    <s v="Formaggi Fortini s.r.l."/>
    <x v="0"/>
    <s v="UK"/>
    <m/>
    <s v="London"/>
    <n v="34.799999999999997"/>
    <n v="1"/>
  </r>
  <r>
    <s v="1011"/>
    <x v="83"/>
    <x v="128"/>
    <x v="48"/>
    <s v="Margaret Peacock"/>
    <s v="PB Knäckebröd AB"/>
    <x v="1"/>
    <s v="UK"/>
    <m/>
    <s v="London"/>
    <n v="21"/>
    <n v="21"/>
  </r>
  <r>
    <s v="1011"/>
    <x v="83"/>
    <x v="383"/>
    <x v="54"/>
    <s v="Michael Suyama"/>
    <s v="Mayumi's"/>
    <x v="0"/>
    <s v="UK"/>
    <m/>
    <s v="London"/>
    <n v="6"/>
    <n v="8"/>
  </r>
  <r>
    <s v="1011"/>
    <x v="83"/>
    <x v="173"/>
    <x v="36"/>
    <s v="Nancy Davolio"/>
    <s v="Grandma Kelly's Homestead"/>
    <x v="1"/>
    <s v="UK"/>
    <m/>
    <s v="London"/>
    <n v="30"/>
    <n v="4"/>
  </r>
  <r>
    <s v="1011"/>
    <x v="83"/>
    <x v="239"/>
    <x v="17"/>
    <s v="Janet Leverling"/>
    <s v="Gai pâturage"/>
    <x v="1"/>
    <s v="UK"/>
    <m/>
    <s v="London"/>
    <n v="55"/>
    <n v="4"/>
  </r>
  <r>
    <s v="1011"/>
    <x v="83"/>
    <x v="7"/>
    <x v="76"/>
    <s v="Janet Leverling"/>
    <s v="New England Seafood Cannery"/>
    <x v="0"/>
    <s v="UK"/>
    <m/>
    <s v="London"/>
    <n v="14.7"/>
    <n v="10"/>
  </r>
  <r>
    <s v="1011"/>
    <x v="83"/>
    <x v="7"/>
    <x v="7"/>
    <s v="Janet Leverling"/>
    <s v="Specialty Biscuits, Ltd."/>
    <x v="0"/>
    <s v="UK"/>
    <m/>
    <s v="London"/>
    <n v="8"/>
    <n v="14"/>
  </r>
  <r>
    <s v="1011"/>
    <x v="83"/>
    <x v="385"/>
    <x v="62"/>
    <s v="Robert King"/>
    <s v="Plutzer Lebensmittelgroßmärkte AG"/>
    <x v="0"/>
    <s v="UK"/>
    <m/>
    <s v="London"/>
    <n v="26.6"/>
    <n v="9"/>
  </r>
  <r>
    <s v="1011"/>
    <x v="83"/>
    <x v="7"/>
    <x v="34"/>
    <s v="Janet Leverling"/>
    <s v="G'day, Mate"/>
    <x v="0"/>
    <s v="UK"/>
    <m/>
    <s v="London"/>
    <n v="42.4"/>
    <n v="3"/>
  </r>
  <r>
    <s v="1011"/>
    <x v="83"/>
    <x v="385"/>
    <x v="66"/>
    <s v="Robert King"/>
    <s v="Exotic Liquids"/>
    <x v="0"/>
    <s v="UK"/>
    <m/>
    <s v="London"/>
    <n v="8"/>
    <n v="30"/>
  </r>
  <r>
    <s v="1011"/>
    <x v="83"/>
    <x v="128"/>
    <x v="26"/>
    <s v="Margaret Peacock"/>
    <s v="Lyngbysild"/>
    <x v="1"/>
    <s v="UK"/>
    <m/>
    <s v="London"/>
    <n v="12"/>
    <n v="15"/>
  </r>
  <r>
    <s v="1057"/>
    <x v="84"/>
    <x v="298"/>
    <x v="56"/>
    <s v="Andrew Fuller"/>
    <s v="Las Cabras"/>
    <x v="0"/>
    <s v="France"/>
    <m/>
    <s v="Paris"/>
    <n v="16.8"/>
    <n v="30"/>
  </r>
  <r>
    <s v="1057"/>
    <x v="84"/>
    <x v="298"/>
    <x v="12"/>
    <s v="Andrew Fuller"/>
    <s v="Norske Meierier"/>
    <x v="0"/>
    <s v="France"/>
    <m/>
    <s v="Paris"/>
    <n v="28.8"/>
    <n v="15"/>
  </r>
  <r>
    <s v="1057"/>
    <x v="84"/>
    <x v="298"/>
    <x v="51"/>
    <s v="Andrew Fuller"/>
    <s v="Norske Meierier"/>
    <x v="0"/>
    <s v="France"/>
    <m/>
    <s v="Paris"/>
    <n v="17.2"/>
    <n v="15"/>
  </r>
  <r>
    <s v="1057"/>
    <x v="84"/>
    <x v="247"/>
    <x v="8"/>
    <s v="Margaret Peacock"/>
    <s v="Exotic Liquids"/>
    <x v="1"/>
    <s v="France"/>
    <m/>
    <s v="Paris"/>
    <n v="19"/>
    <n v="40"/>
  </r>
  <r>
    <s v="1057"/>
    <x v="84"/>
    <x v="386"/>
    <x v="44"/>
    <s v="Nancy Davolio"/>
    <s v="Aux joyeux ecclésiastiques"/>
    <x v="0"/>
    <s v="France"/>
    <m/>
    <s v="Paris"/>
    <n v="18"/>
    <n v="10"/>
  </r>
  <r>
    <s v="1057"/>
    <x v="84"/>
    <x v="247"/>
    <x v="36"/>
    <s v="Margaret Peacock"/>
    <s v="Grandma Kelly's Homestead"/>
    <x v="1"/>
    <s v="France"/>
    <m/>
    <s v="Paris"/>
    <n v="30"/>
    <n v="35"/>
  </r>
  <r>
    <s v="1057"/>
    <x v="84"/>
    <x v="247"/>
    <x v="32"/>
    <s v="Margaret Peacock"/>
    <s v="Specialty Biscuits, Ltd."/>
    <x v="1"/>
    <s v="France"/>
    <m/>
    <s v="Paris"/>
    <n v="12.5"/>
    <n v="40"/>
  </r>
  <r>
    <s v="1057"/>
    <x v="84"/>
    <x v="375"/>
    <x v="68"/>
    <s v="Margaret Peacock"/>
    <s v="Mayumi's"/>
    <x v="0"/>
    <s v="France"/>
    <m/>
    <s v="Paris"/>
    <n v="23.25"/>
    <n v="15"/>
  </r>
  <r>
    <s v="1057"/>
    <x v="84"/>
    <x v="173"/>
    <x v="43"/>
    <s v="Andrew Fuller"/>
    <s v="Tokyo Traders"/>
    <x v="1"/>
    <s v="France"/>
    <m/>
    <s v="Paris"/>
    <n v="31"/>
    <n v="24"/>
  </r>
  <r>
    <s v="1057"/>
    <x v="84"/>
    <x v="386"/>
    <x v="54"/>
    <s v="Nancy Davolio"/>
    <s v="Mayumi's"/>
    <x v="0"/>
    <s v="France"/>
    <m/>
    <s v="Paris"/>
    <n v="6"/>
    <n v="10"/>
  </r>
  <r>
    <s v="1057"/>
    <x v="84"/>
    <x v="55"/>
    <x v="72"/>
    <s v="Janet Leverling"/>
    <s v="Zaanse Snoepfabriek"/>
    <x v="0"/>
    <s v="France"/>
    <m/>
    <s v="Paris"/>
    <n v="9.5"/>
    <n v="40"/>
  </r>
  <r>
    <s v="1057"/>
    <x v="84"/>
    <x v="131"/>
    <x v="1"/>
    <s v="Margaret Peacock"/>
    <s v="Pavlova, Ltd."/>
    <x v="0"/>
    <s v="France"/>
    <m/>
    <s v="Paris"/>
    <n v="17.45"/>
    <n v="30"/>
  </r>
  <r>
    <s v="1057"/>
    <x v="84"/>
    <x v="131"/>
    <x v="55"/>
    <s v="Margaret Peacock"/>
    <s v="PB Knäckebröd AB"/>
    <x v="0"/>
    <s v="France"/>
    <m/>
    <s v="Paris"/>
    <n v="9"/>
    <n v="20"/>
  </r>
  <r>
    <s v="1057"/>
    <x v="84"/>
    <x v="131"/>
    <x v="9"/>
    <s v="Margaret Peacock"/>
    <s v="Forêts d'érables"/>
    <x v="0"/>
    <s v="France"/>
    <m/>
    <s v="Paris"/>
    <n v="49.3"/>
    <n v="20"/>
  </r>
  <r>
    <s v="1057"/>
    <x v="84"/>
    <x v="131"/>
    <x v="16"/>
    <s v="Margaret Peacock"/>
    <s v="Plutzer Lebensmittelgroßmärkte AG"/>
    <x v="0"/>
    <s v="France"/>
    <m/>
    <s v="Paris"/>
    <n v="13"/>
    <n v="10"/>
  </r>
  <r>
    <s v="1057"/>
    <x v="84"/>
    <x v="271"/>
    <x v="36"/>
    <s v="Michael Suyama"/>
    <s v="Grandma Kelly's Homestead"/>
    <x v="1"/>
    <s v="France"/>
    <m/>
    <s v="Paris"/>
    <n v="30"/>
    <n v="20"/>
  </r>
  <r>
    <s v="1057"/>
    <x v="84"/>
    <x v="271"/>
    <x v="60"/>
    <s v="Michael Suyama"/>
    <s v="Formaggi Fortini s.r.l."/>
    <x v="1"/>
    <s v="France"/>
    <m/>
    <s v="Paris"/>
    <n v="12.5"/>
    <n v="9"/>
  </r>
  <r>
    <s v="1057"/>
    <x v="84"/>
    <x v="211"/>
    <x v="57"/>
    <s v="Margaret Peacock"/>
    <s v="New England Seafood Cannery"/>
    <x v="0"/>
    <s v="France"/>
    <m/>
    <s v="Paris"/>
    <n v="7.7"/>
    <n v="16"/>
  </r>
  <r>
    <s v="1057"/>
    <x v="84"/>
    <x v="211"/>
    <x v="53"/>
    <s v="Margaret Peacock"/>
    <s v="Pasta Buttini s.r.l."/>
    <x v="0"/>
    <s v="France"/>
    <m/>
    <s v="Paris"/>
    <n v="15.6"/>
    <n v="50"/>
  </r>
  <r>
    <s v="1057"/>
    <x v="84"/>
    <x v="211"/>
    <x v="9"/>
    <s v="Margaret Peacock"/>
    <s v="Forêts d'érables"/>
    <x v="0"/>
    <s v="France"/>
    <m/>
    <s v="Paris"/>
    <n v="39.4"/>
    <n v="15"/>
  </r>
  <r>
    <s v="1057"/>
    <x v="84"/>
    <x v="375"/>
    <x v="39"/>
    <s v="Margaret Peacock"/>
    <s v="New Orleans Cajun Delights"/>
    <x v="0"/>
    <s v="France"/>
    <m/>
    <s v="Paris"/>
    <n v="21.05"/>
    <n v="30"/>
  </r>
  <r>
    <s v="1057"/>
    <x v="84"/>
    <x v="55"/>
    <x v="35"/>
    <s v="Janet Leverling"/>
    <s v="Gai pâturage"/>
    <x v="0"/>
    <s v="France"/>
    <m/>
    <s v="Paris"/>
    <n v="34"/>
    <n v="30"/>
  </r>
  <r>
    <s v="1057"/>
    <x v="84"/>
    <x v="55"/>
    <x v="76"/>
    <s v="Janet Leverling"/>
    <s v="New England Seafood Cannery"/>
    <x v="0"/>
    <s v="France"/>
    <m/>
    <s v="Paris"/>
    <n v="18.399999999999999"/>
    <n v="20"/>
  </r>
  <r>
    <s v="1057"/>
    <x v="84"/>
    <x v="100"/>
    <x v="57"/>
    <s v="Michael Suyama"/>
    <s v="New England Seafood Cannery"/>
    <x v="1"/>
    <s v="France"/>
    <m/>
    <s v="Paris"/>
    <n v="9.65"/>
    <n v="20"/>
  </r>
  <r>
    <s v="1057"/>
    <x v="84"/>
    <x v="100"/>
    <x v="16"/>
    <s v="Michael Suyama"/>
    <s v="Plutzer Lebensmittelgroßmärkte AG"/>
    <x v="1"/>
    <s v="France"/>
    <m/>
    <s v="Paris"/>
    <n v="13"/>
    <n v="21"/>
  </r>
  <r>
    <s v="1057"/>
    <x v="84"/>
    <x v="375"/>
    <x v="57"/>
    <s v="Margaret Peacock"/>
    <s v="New England Seafood Cannery"/>
    <x v="0"/>
    <s v="France"/>
    <m/>
    <s v="Paris"/>
    <n v="9.65"/>
    <n v="9"/>
  </r>
  <r>
    <s v="1057"/>
    <x v="84"/>
    <x v="271"/>
    <x v="6"/>
    <s v="Michael Suyama"/>
    <s v="G'day, Mate"/>
    <x v="1"/>
    <s v="France"/>
    <m/>
    <s v="Paris"/>
    <n v="32.799999999999997"/>
    <n v="9"/>
  </r>
  <r>
    <s v="1057"/>
    <x v="84"/>
    <x v="211"/>
    <x v="47"/>
    <s v="Margaret Peacock"/>
    <s v="Pavlova, Ltd."/>
    <x v="0"/>
    <s v="France"/>
    <m/>
    <s v="Paris"/>
    <n v="12"/>
    <n v="21"/>
  </r>
  <r>
    <s v="1057"/>
    <x v="84"/>
    <x v="100"/>
    <x v="34"/>
    <s v="Michael Suyama"/>
    <s v="G'day, Mate"/>
    <x v="1"/>
    <s v="France"/>
    <m/>
    <s v="Paris"/>
    <n v="53"/>
    <n v="15"/>
  </r>
  <r>
    <s v="1049"/>
    <x v="85"/>
    <x v="102"/>
    <x v="31"/>
    <s v="Margaret Peacock"/>
    <s v="Plutzer Lebensmittelgroßmärkte AG"/>
    <x v="0"/>
    <s v="Italy"/>
    <m/>
    <s v="Bergamo"/>
    <n v="45.6"/>
    <n v="7"/>
  </r>
  <r>
    <s v="1049"/>
    <x v="85"/>
    <x v="15"/>
    <x v="32"/>
    <s v="Andrew Fuller"/>
    <s v="Specialty Biscuits, Ltd."/>
    <x v="0"/>
    <s v="Italy"/>
    <m/>
    <s v="Bergamo"/>
    <n v="10"/>
    <n v="3"/>
  </r>
  <r>
    <s v="1049"/>
    <x v="85"/>
    <x v="15"/>
    <x v="9"/>
    <s v="Andrew Fuller"/>
    <s v="Forêts d'érables"/>
    <x v="0"/>
    <s v="Italy"/>
    <m/>
    <s v="Bergamo"/>
    <n v="39.4"/>
    <n v="10"/>
  </r>
  <r>
    <s v="1049"/>
    <x v="85"/>
    <x v="292"/>
    <x v="11"/>
    <s v="Margaret Peacock"/>
    <s v="Pavlova, Ltd."/>
    <x v="1"/>
    <s v="Italy"/>
    <m/>
    <s v="Bergamo"/>
    <n v="62.5"/>
    <n v="10"/>
  </r>
  <r>
    <s v="1049"/>
    <x v="85"/>
    <x v="292"/>
    <x v="22"/>
    <s v="Margaret Peacock"/>
    <s v="Pasta Buttini s.r.l."/>
    <x v="1"/>
    <s v="Italy"/>
    <m/>
    <s v="Bergamo"/>
    <n v="38"/>
    <n v="5"/>
  </r>
  <r>
    <s v="1049"/>
    <x v="85"/>
    <x v="362"/>
    <x v="46"/>
    <s v="Michael Suyama"/>
    <s v="Exotic Liquids"/>
    <x v="0"/>
    <s v="Italy"/>
    <m/>
    <s v="Bergamo"/>
    <n v="14.4"/>
    <n v="20"/>
  </r>
  <r>
    <s v="1049"/>
    <x v="85"/>
    <x v="224"/>
    <x v="6"/>
    <s v="Michael Suyama"/>
    <s v="G'day, Mate"/>
    <x v="1"/>
    <s v="Italy"/>
    <m/>
    <s v="Bergamo"/>
    <n v="32.799999999999997"/>
    <n v="3"/>
  </r>
  <r>
    <s v="1049"/>
    <x v="85"/>
    <x v="29"/>
    <x v="40"/>
    <s v="Nancy Davolio"/>
    <s v="Karkki Oy"/>
    <x v="0"/>
    <s v="Italy"/>
    <m/>
    <s v="Bergamo"/>
    <n v="18"/>
    <n v="10"/>
  </r>
  <r>
    <s v="1049"/>
    <x v="85"/>
    <x v="29"/>
    <x v="17"/>
    <s v="Nancy Davolio"/>
    <s v="Gai pâturage"/>
    <x v="0"/>
    <s v="Italy"/>
    <m/>
    <s v="Bergamo"/>
    <n v="55"/>
    <n v="1"/>
  </r>
  <r>
    <s v="1049"/>
    <x v="85"/>
    <x v="29"/>
    <x v="34"/>
    <s v="Nancy Davolio"/>
    <s v="G'day, Mate"/>
    <x v="0"/>
    <s v="Italy"/>
    <m/>
    <s v="Bergamo"/>
    <n v="53"/>
    <n v="20"/>
  </r>
  <r>
    <s v="1049"/>
    <x v="85"/>
    <x v="292"/>
    <x v="69"/>
    <s v="Margaret Peacock"/>
    <s v="Las Cabras"/>
    <x v="1"/>
    <s v="Italy"/>
    <m/>
    <s v="Bergamo"/>
    <n v="38"/>
    <n v="20"/>
  </r>
  <r>
    <s v="1049"/>
    <x v="85"/>
    <x v="102"/>
    <x v="73"/>
    <s v="Margaret Peacock"/>
    <s v="Bigfoot Breweries"/>
    <x v="0"/>
    <s v="Italy"/>
    <m/>
    <s v="Bergamo"/>
    <n v="14"/>
    <n v="7"/>
  </r>
  <r>
    <s v="1049"/>
    <x v="85"/>
    <x v="46"/>
    <x v="41"/>
    <s v="Laura Callahan"/>
    <s v="Refrescos Americanas LTDA"/>
    <x v="1"/>
    <s v="Italy"/>
    <m/>
    <s v="Bergamo"/>
    <n v="4.5"/>
    <n v="8"/>
  </r>
  <r>
    <s v="1049"/>
    <x v="85"/>
    <x v="168"/>
    <x v="32"/>
    <s v="Janet Leverling"/>
    <s v="Specialty Biscuits, Ltd."/>
    <x v="0"/>
    <s v="Italy"/>
    <m/>
    <s v="Bergamo"/>
    <n v="12.5"/>
    <n v="10"/>
  </r>
  <r>
    <s v="1054"/>
    <x v="86"/>
    <x v="295"/>
    <x v="12"/>
    <s v="Andrew Fuller"/>
    <s v="Norske Meierier"/>
    <x v="1"/>
    <s v="Argentina"/>
    <m/>
    <s v="Buenos Aires"/>
    <n v="36"/>
    <n v="3"/>
  </r>
  <r>
    <s v="1054"/>
    <x v="86"/>
    <x v="347"/>
    <x v="47"/>
    <s v="Janet Leverling"/>
    <s v="Pavlova, Ltd."/>
    <x v="0"/>
    <s v="Argentina"/>
    <m/>
    <s v="Buenos Aires"/>
    <n v="15"/>
    <n v="6"/>
  </r>
  <r>
    <s v="1054"/>
    <x v="86"/>
    <x v="38"/>
    <x v="47"/>
    <s v="Janet Leverling"/>
    <s v="Pavlova, Ltd."/>
    <x v="1"/>
    <s v="Argentina"/>
    <m/>
    <s v="Buenos Aires"/>
    <n v="15"/>
    <n v="3"/>
  </r>
  <r>
    <s v="1054"/>
    <x v="86"/>
    <x v="347"/>
    <x v="17"/>
    <s v="Janet Leverling"/>
    <s v="Gai pâturage"/>
    <x v="0"/>
    <s v="Argentina"/>
    <m/>
    <s v="Buenos Aires"/>
    <n v="55"/>
    <n v="4"/>
  </r>
  <r>
    <s v="1054"/>
    <x v="86"/>
    <x v="347"/>
    <x v="50"/>
    <s v="Janet Leverling"/>
    <s v="G'day, Mate"/>
    <x v="0"/>
    <s v="Argentina"/>
    <m/>
    <s v="Buenos Aires"/>
    <n v="7"/>
    <n v="6"/>
  </r>
  <r>
    <s v="1054"/>
    <x v="86"/>
    <x v="295"/>
    <x v="46"/>
    <s v="Andrew Fuller"/>
    <s v="Exotic Liquids"/>
    <x v="1"/>
    <s v="Argentina"/>
    <m/>
    <s v="Buenos Aires"/>
    <n v="18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B92" firstHeaderRow="1" firstDataRow="1" firstDataCol="1"/>
  <pivotFields count="13">
    <pivotField showAll="0"/>
    <pivotField axis="axisRow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14" showAll="0">
      <items count="388">
        <item x="80"/>
        <item x="119"/>
        <item x="37"/>
        <item x="201"/>
        <item x="73"/>
        <item x="17"/>
        <item x="96"/>
        <item x="274"/>
        <item x="309"/>
        <item x="271"/>
        <item x="223"/>
        <item x="270"/>
        <item x="248"/>
        <item x="219"/>
        <item x="245"/>
        <item x="93"/>
        <item x="43"/>
        <item x="181"/>
        <item x="222"/>
        <item x="148"/>
        <item x="5"/>
        <item x="86"/>
        <item x="224"/>
        <item x="48"/>
        <item x="240"/>
        <item x="118"/>
        <item x="46"/>
        <item x="115"/>
        <item x="167"/>
        <item x="60"/>
        <item x="179"/>
        <item x="199"/>
        <item x="178"/>
        <item x="99"/>
        <item x="154"/>
        <item x="12"/>
        <item x="76"/>
        <item x="109"/>
        <item x="293"/>
        <item x="275"/>
        <item x="92"/>
        <item x="172"/>
        <item x="149"/>
        <item x="243"/>
        <item x="210"/>
        <item x="128"/>
        <item x="239"/>
        <item x="89"/>
        <item x="180"/>
        <item x="150"/>
        <item x="30"/>
        <item x="75"/>
        <item x="188"/>
        <item x="147"/>
        <item x="22"/>
        <item x="177"/>
        <item x="170"/>
        <item x="346"/>
        <item x="62"/>
        <item x="263"/>
        <item x="259"/>
        <item x="100"/>
        <item x="63"/>
        <item x="116"/>
        <item x="34"/>
        <item x="129"/>
        <item x="82"/>
        <item x="292"/>
        <item x="173"/>
        <item x="139"/>
        <item x="204"/>
        <item x="8"/>
        <item x="191"/>
        <item x="242"/>
        <item x="77"/>
        <item x="113"/>
        <item x="304"/>
        <item x="164"/>
        <item x="160"/>
        <item x="38"/>
        <item x="125"/>
        <item x="9"/>
        <item x="299"/>
        <item x="101"/>
        <item x="61"/>
        <item x="59"/>
        <item x="340"/>
        <item x="165"/>
        <item x="249"/>
        <item x="171"/>
        <item x="209"/>
        <item x="161"/>
        <item x="352"/>
        <item x="174"/>
        <item x="211"/>
        <item x="65"/>
        <item x="349"/>
        <item x="344"/>
        <item x="365"/>
        <item x="132"/>
        <item x="324"/>
        <item x="146"/>
        <item x="10"/>
        <item x="20"/>
        <item x="68"/>
        <item x="252"/>
        <item x="58"/>
        <item x="269"/>
        <item x="369"/>
        <item x="225"/>
        <item x="237"/>
        <item x="221"/>
        <item x="276"/>
        <item x="107"/>
        <item x="231"/>
        <item x="257"/>
        <item x="256"/>
        <item x="36"/>
        <item x="124"/>
        <item x="385"/>
        <item x="185"/>
        <item x="273"/>
        <item x="371"/>
        <item x="70"/>
        <item x="19"/>
        <item x="105"/>
        <item x="297"/>
        <item x="112"/>
        <item x="39"/>
        <item x="47"/>
        <item x="213"/>
        <item x="192"/>
        <item x="88"/>
        <item x="15"/>
        <item x="195"/>
        <item x="53"/>
        <item x="291"/>
        <item x="348"/>
        <item x="214"/>
        <item x="64"/>
        <item x="153"/>
        <item x="35"/>
        <item x="362"/>
        <item x="2"/>
        <item x="370"/>
        <item x="137"/>
        <item x="265"/>
        <item x="72"/>
        <item x="372"/>
        <item x="203"/>
        <item x="21"/>
        <item x="27"/>
        <item x="311"/>
        <item x="220"/>
        <item x="25"/>
        <item x="16"/>
        <item x="106"/>
        <item x="290"/>
        <item x="134"/>
        <item x="97"/>
        <item x="312"/>
        <item x="51"/>
        <item x="253"/>
        <item x="31"/>
        <item x="319"/>
        <item x="193"/>
        <item x="314"/>
        <item x="279"/>
        <item x="284"/>
        <item x="328"/>
        <item x="320"/>
        <item x="232"/>
        <item x="66"/>
        <item x="350"/>
        <item x="266"/>
        <item x="307"/>
        <item x="298"/>
        <item x="316"/>
        <item x="377"/>
        <item x="378"/>
        <item x="141"/>
        <item x="313"/>
        <item x="380"/>
        <item x="135"/>
        <item x="264"/>
        <item x="343"/>
        <item x="206"/>
        <item x="318"/>
        <item x="282"/>
        <item x="308"/>
        <item x="217"/>
        <item x="122"/>
        <item x="345"/>
        <item x="351"/>
        <item x="18"/>
        <item x="32"/>
        <item x="95"/>
        <item x="130"/>
        <item x="339"/>
        <item x="285"/>
        <item x="126"/>
        <item x="189"/>
        <item x="227"/>
        <item x="44"/>
        <item x="294"/>
        <item x="366"/>
        <item x="250"/>
        <item x="358"/>
        <item x="84"/>
        <item x="136"/>
        <item x="205"/>
        <item x="244"/>
        <item x="337"/>
        <item x="98"/>
        <item x="94"/>
        <item x="24"/>
        <item x="354"/>
        <item x="186"/>
        <item x="198"/>
        <item x="49"/>
        <item x="1"/>
        <item x="363"/>
        <item x="246"/>
        <item x="33"/>
        <item x="336"/>
        <item x="71"/>
        <item x="42"/>
        <item x="144"/>
        <item x="7"/>
        <item x="306"/>
        <item x="156"/>
        <item x="323"/>
        <item x="218"/>
        <item x="23"/>
        <item x="379"/>
        <item x="187"/>
        <item x="79"/>
        <item x="238"/>
        <item x="151"/>
        <item x="103"/>
        <item x="184"/>
        <item x="3"/>
        <item x="287"/>
        <item x="197"/>
        <item x="386"/>
        <item x="182"/>
        <item x="329"/>
        <item x="373"/>
        <item x="353"/>
        <item x="251"/>
        <item x="347"/>
        <item x="368"/>
        <item x="296"/>
        <item x="335"/>
        <item x="233"/>
        <item x="50"/>
        <item x="325"/>
        <item x="142"/>
        <item x="332"/>
        <item x="175"/>
        <item x="216"/>
        <item x="230"/>
        <item x="278"/>
        <item x="235"/>
        <item x="384"/>
        <item x="383"/>
        <item x="163"/>
        <item x="200"/>
        <item x="102"/>
        <item x="145"/>
        <item x="52"/>
        <item x="338"/>
        <item x="262"/>
        <item x="28"/>
        <item x="158"/>
        <item x="131"/>
        <item x="361"/>
        <item x="236"/>
        <item x="85"/>
        <item x="367"/>
        <item x="321"/>
        <item x="121"/>
        <item x="45"/>
        <item x="342"/>
        <item x="69"/>
        <item x="288"/>
        <item x="226"/>
        <item x="280"/>
        <item x="364"/>
        <item x="334"/>
        <item x="381"/>
        <item x="277"/>
        <item x="375"/>
        <item x="183"/>
        <item x="133"/>
        <item x="208"/>
        <item x="127"/>
        <item x="258"/>
        <item x="333"/>
        <item x="281"/>
        <item x="234"/>
        <item x="190"/>
        <item x="13"/>
        <item x="67"/>
        <item x="382"/>
        <item x="152"/>
        <item x="355"/>
        <item x="26"/>
        <item x="283"/>
        <item x="272"/>
        <item x="341"/>
        <item x="357"/>
        <item x="110"/>
        <item x="359"/>
        <item x="157"/>
        <item x="114"/>
        <item x="331"/>
        <item x="286"/>
        <item x="289"/>
        <item x="78"/>
        <item x="40"/>
        <item x="322"/>
        <item x="196"/>
        <item x="241"/>
        <item x="229"/>
        <item x="202"/>
        <item x="310"/>
        <item x="315"/>
        <item x="268"/>
        <item x="138"/>
        <item x="305"/>
        <item x="356"/>
        <item x="159"/>
        <item x="207"/>
        <item x="169"/>
        <item x="212"/>
        <item x="41"/>
        <item x="374"/>
        <item x="176"/>
        <item x="74"/>
        <item x="120"/>
        <item x="260"/>
        <item x="247"/>
        <item x="90"/>
        <item x="168"/>
        <item x="29"/>
        <item x="303"/>
        <item x="104"/>
        <item x="143"/>
        <item x="108"/>
        <item x="300"/>
        <item x="254"/>
        <item x="111"/>
        <item x="91"/>
        <item x="155"/>
        <item x="55"/>
        <item x="302"/>
        <item x="54"/>
        <item x="228"/>
        <item x="166"/>
        <item x="123"/>
        <item x="301"/>
        <item x="330"/>
        <item x="0"/>
        <item x="117"/>
        <item x="11"/>
        <item x="56"/>
        <item x="57"/>
        <item x="6"/>
        <item x="83"/>
        <item x="162"/>
        <item x="81"/>
        <item x="87"/>
        <item x="261"/>
        <item x="215"/>
        <item x="317"/>
        <item x="140"/>
        <item x="360"/>
        <item x="326"/>
        <item x="295"/>
        <item x="267"/>
        <item x="327"/>
        <item x="14"/>
        <item x="194"/>
        <item x="255"/>
        <item x="4"/>
        <item x="376"/>
        <item t="default"/>
      </items>
    </pivotField>
    <pivotField showAll="0">
      <items count="78">
        <item x="15"/>
        <item x="66"/>
        <item x="76"/>
        <item x="35"/>
        <item x="11"/>
        <item x="46"/>
        <item x="8"/>
        <item x="44"/>
        <item x="3"/>
        <item x="64"/>
        <item x="42"/>
        <item x="18"/>
        <item x="25"/>
        <item x="50"/>
        <item x="51"/>
        <item x="10"/>
        <item x="75"/>
        <item x="22"/>
        <item x="60"/>
        <item x="70"/>
        <item x="58"/>
        <item x="41"/>
        <item x="12"/>
        <item x="29"/>
        <item x="5"/>
        <item x="48"/>
        <item x="43"/>
        <item x="19"/>
        <item x="38"/>
        <item x="57"/>
        <item x="54"/>
        <item x="40"/>
        <item x="73"/>
        <item x="74"/>
        <item x="39"/>
        <item x="67"/>
        <item x="34"/>
        <item x="61"/>
        <item x="49"/>
        <item x="14"/>
        <item x="30"/>
        <item x="33"/>
        <item x="2"/>
        <item x="52"/>
        <item x="16"/>
        <item x="47"/>
        <item x="63"/>
        <item x="1"/>
        <item x="6"/>
        <item x="56"/>
        <item x="69"/>
        <item x="17"/>
        <item x="53"/>
        <item x="27"/>
        <item x="24"/>
        <item x="21"/>
        <item x="31"/>
        <item x="20"/>
        <item x="65"/>
        <item x="32"/>
        <item x="45"/>
        <item x="59"/>
        <item x="7"/>
        <item x="4"/>
        <item x="26"/>
        <item x="13"/>
        <item x="9"/>
        <item x="23"/>
        <item x="37"/>
        <item x="68"/>
        <item x="0"/>
        <item x="55"/>
        <item x="36"/>
        <item x="71"/>
        <item x="28"/>
        <item x="62"/>
        <item x="7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4" showAll="0"/>
    <pivotField showAll="0"/>
    <pivotField dataField="1" dragToRow="0" dragToCol="0" dragToPage="0" showAll="0" defaultSubtotal="0"/>
  </pivotFields>
  <rowFields count="1">
    <field x="1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name="Sum of Revenue" fld="12" baseField="0" baseItem="0" numFmtId="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B92"/>
  <sheetViews>
    <sheetView tabSelected="1" workbookViewId="0">
      <selection activeCell="A4" sqref="A4"/>
    </sheetView>
  </sheetViews>
  <sheetFormatPr defaultColWidth="9.7109375" defaultRowHeight="15"/>
  <cols>
    <col min="1" max="1" width="23" customWidth="1"/>
    <col min="2" max="2" width="15.5703125" customWidth="1"/>
    <col min="3" max="3" width="4.140625" customWidth="1"/>
    <col min="4" max="4" width="11.28515625" customWidth="1"/>
    <col min="5" max="8" width="8.7109375" customWidth="1"/>
    <col min="9" max="22" width="9.7109375" bestFit="1" customWidth="1"/>
    <col min="23" max="28" width="8.7109375" customWidth="1"/>
    <col min="29" max="40" width="9.7109375" bestFit="1" customWidth="1"/>
    <col min="41" max="46" width="8.7109375" customWidth="1"/>
    <col min="47" max="60" width="9.7109375" bestFit="1" customWidth="1"/>
    <col min="61" max="67" width="8.7109375" customWidth="1"/>
    <col min="68" max="82" width="9.7109375" bestFit="1" customWidth="1"/>
    <col min="83" max="90" width="8.7109375" customWidth="1"/>
    <col min="91" max="93" width="9.7109375" customWidth="1"/>
    <col min="94" max="104" width="9.7109375" bestFit="1" customWidth="1"/>
    <col min="105" max="111" width="8.7109375" customWidth="1"/>
    <col min="112" max="119" width="9.7109375" customWidth="1"/>
    <col min="120" max="125" width="9.7109375" bestFit="1" customWidth="1"/>
    <col min="126" max="131" width="8.7109375" customWidth="1"/>
    <col min="132" max="133" width="9.7109375" bestFit="1" customWidth="1"/>
    <col min="134" max="140" width="9.7109375" customWidth="1"/>
    <col min="141" max="153" width="9.7109375" bestFit="1" customWidth="1"/>
    <col min="154" max="154" width="10.7109375" bestFit="1" customWidth="1"/>
    <col min="155" max="160" width="10.7109375" customWidth="1"/>
    <col min="161" max="173" width="10.7109375" bestFit="1" customWidth="1"/>
    <col min="174" max="180" width="8.7109375" customWidth="1"/>
    <col min="181" max="182" width="9.7109375" bestFit="1" customWidth="1"/>
    <col min="183" max="196" width="9.7109375" customWidth="1"/>
    <col min="197" max="202" width="8.7109375" customWidth="1"/>
    <col min="203" max="209" width="9.7109375" customWidth="1"/>
    <col min="210" max="215" width="9.7109375" bestFit="1" customWidth="1"/>
    <col min="216" max="221" width="8.7109375" customWidth="1"/>
    <col min="222" max="225" width="9.7109375" bestFit="1" customWidth="1"/>
    <col min="226" max="231" width="9.7109375" customWidth="1"/>
    <col min="232" max="235" width="9.7109375" bestFit="1" customWidth="1"/>
    <col min="236" max="242" width="8.7109375" customWidth="1"/>
    <col min="243" max="244" width="9.7109375" bestFit="1" customWidth="1"/>
    <col min="245" max="250" width="9.7109375" customWidth="1"/>
  </cols>
  <sheetData>
    <row r="4" spans="1:2">
      <c r="A4" s="3" t="s">
        <v>410</v>
      </c>
      <c r="B4" t="s">
        <v>412</v>
      </c>
    </row>
    <row r="5" spans="1:2">
      <c r="A5" s="4" t="s">
        <v>13</v>
      </c>
      <c r="B5" s="5">
        <v>1358864.79</v>
      </c>
    </row>
    <row r="6" spans="1:2">
      <c r="A6" s="4" t="s">
        <v>79</v>
      </c>
      <c r="B6" s="5">
        <v>243091.79999999996</v>
      </c>
    </row>
    <row r="7" spans="1:2">
      <c r="A7" s="4" t="s">
        <v>91</v>
      </c>
      <c r="B7" s="5">
        <v>149337.1</v>
      </c>
    </row>
    <row r="8" spans="1:2">
      <c r="A8" s="4" t="s">
        <v>105</v>
      </c>
      <c r="B8" s="5">
        <v>57590.159999999989</v>
      </c>
    </row>
    <row r="9" spans="1:2">
      <c r="A9" s="4" t="s">
        <v>113</v>
      </c>
      <c r="B9" s="5">
        <v>342507.00000000006</v>
      </c>
    </row>
    <row r="10" spans="1:2">
      <c r="A10" s="4" t="s">
        <v>127</v>
      </c>
      <c r="B10" s="5">
        <v>517385</v>
      </c>
    </row>
    <row r="11" spans="1:2">
      <c r="A11" s="4" t="s">
        <v>140</v>
      </c>
      <c r="B11" s="5">
        <v>17213.7</v>
      </c>
    </row>
    <row r="12" spans="1:2">
      <c r="A12" s="4" t="s">
        <v>144</v>
      </c>
      <c r="B12" s="5">
        <v>3018950.7000000007</v>
      </c>
    </row>
    <row r="13" spans="1:2">
      <c r="A13" s="4" t="s">
        <v>157</v>
      </c>
      <c r="B13" s="5">
        <v>19593.599999999999</v>
      </c>
    </row>
    <row r="14" spans="1:2">
      <c r="A14" s="4" t="s">
        <v>162</v>
      </c>
      <c r="B14" s="5">
        <v>4451.5999999999995</v>
      </c>
    </row>
    <row r="15" spans="1:2">
      <c r="A15" s="4" t="s">
        <v>166</v>
      </c>
      <c r="B15" s="5">
        <v>373944.99999999994</v>
      </c>
    </row>
    <row r="16" spans="1:2">
      <c r="A16" s="4" t="s">
        <v>173</v>
      </c>
      <c r="B16" s="5">
        <v>16543.05</v>
      </c>
    </row>
    <row r="17" spans="1:2">
      <c r="A17" s="4" t="s">
        <v>175</v>
      </c>
      <c r="B17" s="5">
        <v>591169.03999999992</v>
      </c>
    </row>
    <row r="18" spans="1:2">
      <c r="A18" s="4" t="s">
        <v>182</v>
      </c>
      <c r="B18" s="5">
        <v>267503.40000000002</v>
      </c>
    </row>
    <row r="19" spans="1:2">
      <c r="A19" s="4" t="s">
        <v>187</v>
      </c>
      <c r="B19" s="5">
        <v>160381.24999999997</v>
      </c>
    </row>
    <row r="20" spans="1:2">
      <c r="A20" s="4" t="s">
        <v>189</v>
      </c>
      <c r="B20" s="5">
        <v>638308.33000000007</v>
      </c>
    </row>
    <row r="21" spans="1:2">
      <c r="A21" s="4" t="s">
        <v>193</v>
      </c>
      <c r="B21" s="5">
        <v>714</v>
      </c>
    </row>
    <row r="22" spans="1:2">
      <c r="A22" s="4" t="s">
        <v>196</v>
      </c>
      <c r="B22" s="5">
        <v>5628.7000000000007</v>
      </c>
    </row>
    <row r="23" spans="1:2">
      <c r="A23" s="4" t="s">
        <v>198</v>
      </c>
      <c r="B23" s="5">
        <v>23657.489999999998</v>
      </c>
    </row>
    <row r="24" spans="1:2">
      <c r="A24" s="4" t="s">
        <v>202</v>
      </c>
      <c r="B24" s="5">
        <v>1019959.5200000001</v>
      </c>
    </row>
    <row r="25" spans="1:2">
      <c r="A25" s="4" t="s">
        <v>206</v>
      </c>
      <c r="B25" s="5">
        <v>1171327.9000000001</v>
      </c>
    </row>
    <row r="26" spans="1:2">
      <c r="A26" s="4" t="s">
        <v>210</v>
      </c>
      <c r="B26" s="5">
        <v>316.8</v>
      </c>
    </row>
    <row r="27" spans="1:2">
      <c r="A27" s="4" t="s">
        <v>214</v>
      </c>
      <c r="B27" s="5">
        <v>158841.60000000001</v>
      </c>
    </row>
    <row r="28" spans="1:2">
      <c r="A28" s="4" t="s">
        <v>219</v>
      </c>
      <c r="B28" s="5">
        <v>48587</v>
      </c>
    </row>
    <row r="29" spans="1:2">
      <c r="A29" s="4" t="s">
        <v>222</v>
      </c>
      <c r="B29" s="5">
        <v>34466.949999999997</v>
      </c>
    </row>
    <row r="30" spans="1:2">
      <c r="A30" s="4" t="s">
        <v>225</v>
      </c>
      <c r="B30" s="5">
        <v>415467.00000000012</v>
      </c>
    </row>
    <row r="31" spans="1:2">
      <c r="A31" s="4" t="s">
        <v>228</v>
      </c>
      <c r="B31" s="5">
        <v>13548.150000000001</v>
      </c>
    </row>
    <row r="32" spans="1:2">
      <c r="A32" s="4" t="s">
        <v>230</v>
      </c>
      <c r="B32" s="5">
        <v>1110003.72</v>
      </c>
    </row>
    <row r="33" spans="1:2">
      <c r="A33" s="4" t="s">
        <v>233</v>
      </c>
      <c r="B33" s="5">
        <v>128346.89999999998</v>
      </c>
    </row>
    <row r="34" spans="1:2">
      <c r="A34" s="4" t="s">
        <v>236</v>
      </c>
      <c r="B34" s="5">
        <v>168939.31999999998</v>
      </c>
    </row>
    <row r="35" spans="1:2">
      <c r="A35" s="4" t="s">
        <v>238</v>
      </c>
      <c r="B35" s="5">
        <v>501246.71999999997</v>
      </c>
    </row>
    <row r="36" spans="1:2">
      <c r="A36" s="4" t="s">
        <v>242</v>
      </c>
      <c r="B36" s="5">
        <v>1427075.6500000001</v>
      </c>
    </row>
    <row r="37" spans="1:2">
      <c r="A37" s="4" t="s">
        <v>246</v>
      </c>
      <c r="B37" s="5">
        <v>816382.86</v>
      </c>
    </row>
    <row r="38" spans="1:2">
      <c r="A38" s="4" t="s">
        <v>250</v>
      </c>
      <c r="B38" s="5">
        <v>281275.55</v>
      </c>
    </row>
    <row r="39" spans="1:2">
      <c r="A39" s="4" t="s">
        <v>253</v>
      </c>
      <c r="B39" s="5">
        <v>906483.20000000007</v>
      </c>
    </row>
    <row r="40" spans="1:2">
      <c r="A40" s="4" t="s">
        <v>256</v>
      </c>
      <c r="B40" s="5">
        <v>10852941.950000001</v>
      </c>
    </row>
    <row r="41" spans="1:2">
      <c r="A41" s="4" t="s">
        <v>260</v>
      </c>
      <c r="B41" s="5">
        <v>168566.9</v>
      </c>
    </row>
    <row r="42" spans="1:2">
      <c r="A42" s="4" t="s">
        <v>263</v>
      </c>
      <c r="B42" s="5">
        <v>114789.83</v>
      </c>
    </row>
    <row r="43" spans="1:2">
      <c r="A43" s="4" t="s">
        <v>266</v>
      </c>
      <c r="B43" s="5">
        <v>19955.389999999996</v>
      </c>
    </row>
    <row r="44" spans="1:2">
      <c r="A44" s="4" t="s">
        <v>270</v>
      </c>
      <c r="B44" s="5">
        <v>41564.839999999997</v>
      </c>
    </row>
    <row r="45" spans="1:2">
      <c r="A45" s="4" t="s">
        <v>274</v>
      </c>
      <c r="B45" s="5">
        <v>132553.57</v>
      </c>
    </row>
    <row r="46" spans="1:2">
      <c r="A46" s="4" t="s">
        <v>276</v>
      </c>
      <c r="B46" s="5">
        <v>919728.6</v>
      </c>
    </row>
    <row r="47" spans="1:2">
      <c r="A47" s="4" t="s">
        <v>279</v>
      </c>
      <c r="B47" s="5">
        <v>18673.7</v>
      </c>
    </row>
    <row r="48" spans="1:2">
      <c r="A48" s="4" t="s">
        <v>283</v>
      </c>
      <c r="B48" s="5">
        <v>53042.6</v>
      </c>
    </row>
    <row r="49" spans="1:2">
      <c r="A49" s="4" t="s">
        <v>287</v>
      </c>
      <c r="B49" s="5">
        <v>283278</v>
      </c>
    </row>
    <row r="50" spans="1:2">
      <c r="A50" s="4" t="s">
        <v>290</v>
      </c>
      <c r="B50" s="5">
        <v>1084416.1099999999</v>
      </c>
    </row>
    <row r="51" spans="1:2">
      <c r="A51" s="4" t="s">
        <v>293</v>
      </c>
      <c r="B51" s="5">
        <v>153304.19999999998</v>
      </c>
    </row>
    <row r="52" spans="1:2">
      <c r="A52" s="4" t="s">
        <v>296</v>
      </c>
      <c r="B52" s="5">
        <v>612652</v>
      </c>
    </row>
    <row r="53" spans="1:2">
      <c r="A53" s="4" t="s">
        <v>298</v>
      </c>
      <c r="B53" s="5">
        <v>289660.27999999997</v>
      </c>
    </row>
    <row r="54" spans="1:2">
      <c r="A54" s="4" t="s">
        <v>302</v>
      </c>
      <c r="B54" s="5">
        <v>327584.68</v>
      </c>
    </row>
    <row r="55" spans="1:2">
      <c r="A55" s="4" t="s">
        <v>306</v>
      </c>
      <c r="B55" s="5">
        <v>156945.9</v>
      </c>
    </row>
    <row r="56" spans="1:2">
      <c r="A56" s="4" t="s">
        <v>309</v>
      </c>
      <c r="B56" s="5">
        <v>64770.570000000007</v>
      </c>
    </row>
    <row r="57" spans="1:2">
      <c r="A57" s="4" t="s">
        <v>312</v>
      </c>
      <c r="B57" s="5">
        <v>1499044.5000000005</v>
      </c>
    </row>
    <row r="58" spans="1:2">
      <c r="A58" s="4" t="s">
        <v>315</v>
      </c>
      <c r="B58" s="5">
        <v>1040220.9999999998</v>
      </c>
    </row>
    <row r="59" spans="1:2">
      <c r="A59" s="4" t="s">
        <v>318</v>
      </c>
      <c r="B59" s="5">
        <v>376581.3</v>
      </c>
    </row>
    <row r="60" spans="1:2">
      <c r="A60" s="4" t="s">
        <v>322</v>
      </c>
      <c r="B60" s="5">
        <v>18378.500000000004</v>
      </c>
    </row>
    <row r="61" spans="1:2">
      <c r="A61" s="4" t="s">
        <v>325</v>
      </c>
      <c r="B61" s="5">
        <v>22712.5</v>
      </c>
    </row>
    <row r="62" spans="1:2">
      <c r="A62" s="4" t="s">
        <v>327</v>
      </c>
      <c r="B62" s="5">
        <v>221535.3</v>
      </c>
    </row>
    <row r="63" spans="1:2">
      <c r="A63" s="4" t="s">
        <v>330</v>
      </c>
      <c r="B63" s="5">
        <v>53749.85</v>
      </c>
    </row>
    <row r="64" spans="1:2">
      <c r="A64" s="4" t="s">
        <v>332</v>
      </c>
      <c r="B64" s="5">
        <v>6581.4</v>
      </c>
    </row>
    <row r="65" spans="1:2">
      <c r="A65" s="4" t="s">
        <v>335</v>
      </c>
      <c r="B65" s="5">
        <v>585216.9</v>
      </c>
    </row>
    <row r="66" spans="1:2">
      <c r="A66" s="4" t="s">
        <v>338</v>
      </c>
      <c r="B66" s="5">
        <v>1309076.5599999998</v>
      </c>
    </row>
    <row r="67" spans="1:2">
      <c r="A67" s="4" t="s">
        <v>341</v>
      </c>
      <c r="B67" s="5">
        <v>2896244.24</v>
      </c>
    </row>
    <row r="68" spans="1:2">
      <c r="A68" s="4" t="s">
        <v>345</v>
      </c>
      <c r="B68" s="5">
        <v>12114681.810000001</v>
      </c>
    </row>
    <row r="69" spans="1:2">
      <c r="A69" s="4" t="s">
        <v>347</v>
      </c>
      <c r="B69" s="5">
        <v>525492</v>
      </c>
    </row>
    <row r="70" spans="1:2">
      <c r="A70" s="4" t="s">
        <v>350</v>
      </c>
      <c r="B70" s="5">
        <v>207423.72</v>
      </c>
    </row>
    <row r="71" spans="1:2">
      <c r="A71" s="4" t="s">
        <v>353</v>
      </c>
      <c r="B71" s="5">
        <v>276135</v>
      </c>
    </row>
    <row r="72" spans="1:2">
      <c r="A72" s="4" t="s">
        <v>356</v>
      </c>
      <c r="B72" s="5">
        <v>13492.000000000004</v>
      </c>
    </row>
    <row r="73" spans="1:2">
      <c r="A73" s="4" t="s">
        <v>358</v>
      </c>
      <c r="B73" s="5">
        <v>13285754.280000001</v>
      </c>
    </row>
    <row r="74" spans="1:2">
      <c r="A74" s="4" t="s">
        <v>360</v>
      </c>
      <c r="B74" s="5">
        <v>30572.799999999996</v>
      </c>
    </row>
    <row r="75" spans="1:2">
      <c r="A75" s="4" t="s">
        <v>363</v>
      </c>
      <c r="B75" s="5">
        <v>75649.600000000006</v>
      </c>
    </row>
    <row r="76" spans="1:2">
      <c r="A76" s="4" t="s">
        <v>366</v>
      </c>
      <c r="B76" s="5">
        <v>55426.999999999993</v>
      </c>
    </row>
    <row r="77" spans="1:2">
      <c r="A77" s="4" t="s">
        <v>368</v>
      </c>
      <c r="B77" s="5">
        <v>16357.16</v>
      </c>
    </row>
    <row r="78" spans="1:2">
      <c r="A78" s="4" t="s">
        <v>371</v>
      </c>
      <c r="B78" s="5">
        <v>565267.49999999988</v>
      </c>
    </row>
    <row r="79" spans="1:2">
      <c r="A79" s="4" t="s">
        <v>374</v>
      </c>
      <c r="B79" s="5">
        <v>323404.80000000005</v>
      </c>
    </row>
    <row r="80" spans="1:2">
      <c r="A80" s="4" t="s">
        <v>376</v>
      </c>
      <c r="B80" s="5">
        <v>102024.09000000001</v>
      </c>
    </row>
    <row r="81" spans="1:2">
      <c r="A81" s="4" t="s">
        <v>380</v>
      </c>
      <c r="B81" s="5">
        <v>87514.98</v>
      </c>
    </row>
    <row r="82" spans="1:2">
      <c r="A82" s="4" t="s">
        <v>382</v>
      </c>
      <c r="B82" s="5">
        <v>55827.9</v>
      </c>
    </row>
    <row r="83" spans="1:2">
      <c r="A83" s="4" t="s">
        <v>385</v>
      </c>
      <c r="B83" s="5">
        <v>146909.99999999997</v>
      </c>
    </row>
    <row r="84" spans="1:2">
      <c r="A84" s="4" t="s">
        <v>388</v>
      </c>
      <c r="B84" s="5">
        <v>40491</v>
      </c>
    </row>
    <row r="85" spans="1:2">
      <c r="A85" s="4" t="s">
        <v>392</v>
      </c>
      <c r="B85" s="5">
        <v>844721.6</v>
      </c>
    </row>
    <row r="86" spans="1:2">
      <c r="A86" s="4" t="s">
        <v>395</v>
      </c>
      <c r="B86" s="5">
        <v>25052.7</v>
      </c>
    </row>
    <row r="87" spans="1:2">
      <c r="A87" s="4" t="s">
        <v>400</v>
      </c>
      <c r="B87" s="5">
        <v>39746.1</v>
      </c>
    </row>
    <row r="88" spans="1:2">
      <c r="A88" s="4" t="s">
        <v>402</v>
      </c>
      <c r="B88" s="5">
        <v>146265.60000000001</v>
      </c>
    </row>
    <row r="89" spans="1:2">
      <c r="A89" s="4" t="s">
        <v>404</v>
      </c>
      <c r="B89" s="5">
        <v>389502.44999999995</v>
      </c>
    </row>
    <row r="90" spans="1:2">
      <c r="A90" s="4" t="s">
        <v>406</v>
      </c>
      <c r="B90" s="5">
        <v>58651.799999999996</v>
      </c>
    </row>
    <row r="91" spans="1:2">
      <c r="A91" s="4" t="s">
        <v>409</v>
      </c>
      <c r="B91" s="5">
        <v>4380</v>
      </c>
    </row>
    <row r="92" spans="1:2">
      <c r="A92" s="4" t="s">
        <v>411</v>
      </c>
      <c r="B92" s="5">
        <v>2899457198.4700036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56"/>
  <sheetViews>
    <sheetView topLeftCell="C1" workbookViewId="0">
      <selection activeCell="M2158" sqref="M2158"/>
    </sheetView>
  </sheetViews>
  <sheetFormatPr defaultRowHeight="15"/>
  <cols>
    <col min="3" max="3" width="10.7109375" bestFit="1" customWidth="1"/>
    <col min="4" max="4" width="31.85546875" bestFit="1" customWidth="1"/>
    <col min="5" max="5" width="16.7109375" bestFit="1" customWidth="1"/>
    <col min="6" max="6" width="38" bestFit="1" customWidth="1"/>
    <col min="7" max="7" width="5.85546875" bestFit="1" customWidth="1"/>
    <col min="8" max="8" width="16.7109375" bestFit="1" customWidth="1"/>
    <col min="12" max="12" width="8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413</v>
      </c>
    </row>
    <row r="2" spans="1:13">
      <c r="A2" t="s">
        <v>12</v>
      </c>
      <c r="B2" t="s">
        <v>13</v>
      </c>
      <c r="C2" s="1">
        <v>40092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s="2">
        <v>7.45</v>
      </c>
      <c r="L2">
        <v>60</v>
      </c>
      <c r="M2">
        <f>K2*L2</f>
        <v>447</v>
      </c>
    </row>
    <row r="3" spans="1:13">
      <c r="A3" t="s">
        <v>12</v>
      </c>
      <c r="B3" t="s">
        <v>13</v>
      </c>
      <c r="C3" s="1">
        <v>39882</v>
      </c>
      <c r="D3" t="s">
        <v>20</v>
      </c>
      <c r="E3" t="s">
        <v>21</v>
      </c>
      <c r="F3" t="s">
        <v>22</v>
      </c>
      <c r="G3" t="s">
        <v>17</v>
      </c>
      <c r="H3" t="s">
        <v>18</v>
      </c>
      <c r="J3" t="s">
        <v>19</v>
      </c>
      <c r="K3" s="2">
        <v>13.9</v>
      </c>
      <c r="L3">
        <v>35</v>
      </c>
      <c r="M3">
        <f t="shared" ref="M3:M66" si="0">K3*L3</f>
        <v>486.5</v>
      </c>
    </row>
    <row r="4" spans="1:13">
      <c r="A4" t="s">
        <v>12</v>
      </c>
      <c r="B4" t="s">
        <v>13</v>
      </c>
      <c r="C4" s="1">
        <v>39722</v>
      </c>
      <c r="D4" t="s">
        <v>23</v>
      </c>
      <c r="E4" t="s">
        <v>24</v>
      </c>
      <c r="F4" t="s">
        <v>25</v>
      </c>
      <c r="G4" t="s">
        <v>17</v>
      </c>
      <c r="H4" t="s">
        <v>18</v>
      </c>
      <c r="J4" t="s">
        <v>19</v>
      </c>
      <c r="K4" s="2">
        <v>32</v>
      </c>
      <c r="L4">
        <v>70</v>
      </c>
      <c r="M4">
        <f t="shared" si="0"/>
        <v>2240</v>
      </c>
    </row>
    <row r="5" spans="1:13">
      <c r="A5" t="s">
        <v>12</v>
      </c>
      <c r="B5" t="s">
        <v>13</v>
      </c>
      <c r="C5" s="1">
        <v>39722</v>
      </c>
      <c r="D5" t="s">
        <v>26</v>
      </c>
      <c r="E5" t="s">
        <v>24</v>
      </c>
      <c r="F5" t="s">
        <v>27</v>
      </c>
      <c r="G5" t="s">
        <v>17</v>
      </c>
      <c r="H5" t="s">
        <v>18</v>
      </c>
      <c r="J5" t="s">
        <v>19</v>
      </c>
      <c r="K5" s="2">
        <v>17.600000000000001</v>
      </c>
      <c r="L5">
        <v>35</v>
      </c>
      <c r="M5">
        <f t="shared" si="0"/>
        <v>616</v>
      </c>
    </row>
    <row r="6" spans="1:13">
      <c r="A6" t="s">
        <v>12</v>
      </c>
      <c r="B6" t="s">
        <v>13</v>
      </c>
      <c r="C6" s="1">
        <v>39913</v>
      </c>
      <c r="D6" t="s">
        <v>28</v>
      </c>
      <c r="E6" t="s">
        <v>24</v>
      </c>
      <c r="F6" t="s">
        <v>29</v>
      </c>
      <c r="G6" t="s">
        <v>17</v>
      </c>
      <c r="H6" t="s">
        <v>18</v>
      </c>
      <c r="J6" t="s">
        <v>19</v>
      </c>
      <c r="K6" s="2">
        <v>28.5</v>
      </c>
      <c r="L6">
        <v>25</v>
      </c>
      <c r="M6">
        <f t="shared" si="0"/>
        <v>712.5</v>
      </c>
    </row>
    <row r="7" spans="1:13">
      <c r="A7" t="s">
        <v>12</v>
      </c>
      <c r="B7" t="s">
        <v>13</v>
      </c>
      <c r="C7" s="1">
        <v>40116</v>
      </c>
      <c r="D7" t="s">
        <v>30</v>
      </c>
      <c r="E7" t="s">
        <v>15</v>
      </c>
      <c r="F7" t="s">
        <v>31</v>
      </c>
      <c r="G7" t="s">
        <v>17</v>
      </c>
      <c r="H7" t="s">
        <v>18</v>
      </c>
      <c r="J7" t="s">
        <v>19</v>
      </c>
      <c r="K7" s="2">
        <v>31.23</v>
      </c>
      <c r="L7">
        <v>15</v>
      </c>
      <c r="M7">
        <f t="shared" si="0"/>
        <v>468.45</v>
      </c>
    </row>
    <row r="8" spans="1:13">
      <c r="A8" t="s">
        <v>12</v>
      </c>
      <c r="B8" t="s">
        <v>13</v>
      </c>
      <c r="C8" s="1">
        <v>39913</v>
      </c>
      <c r="D8" t="s">
        <v>32</v>
      </c>
      <c r="E8" t="s">
        <v>24</v>
      </c>
      <c r="F8" t="s">
        <v>33</v>
      </c>
      <c r="G8" t="s">
        <v>17</v>
      </c>
      <c r="H8" t="s">
        <v>18</v>
      </c>
      <c r="J8" t="s">
        <v>19</v>
      </c>
      <c r="K8" s="2">
        <v>32.799999999999997</v>
      </c>
      <c r="L8">
        <v>10</v>
      </c>
      <c r="M8">
        <f t="shared" si="0"/>
        <v>328</v>
      </c>
    </row>
    <row r="9" spans="1:13">
      <c r="A9" t="s">
        <v>12</v>
      </c>
      <c r="B9" t="s">
        <v>13</v>
      </c>
      <c r="C9" s="1">
        <v>39913</v>
      </c>
      <c r="D9" t="s">
        <v>34</v>
      </c>
      <c r="E9" t="s">
        <v>24</v>
      </c>
      <c r="F9" t="s">
        <v>35</v>
      </c>
      <c r="G9" t="s">
        <v>17</v>
      </c>
      <c r="H9" t="s">
        <v>18</v>
      </c>
      <c r="J9" t="s">
        <v>19</v>
      </c>
      <c r="K9" s="2">
        <v>10</v>
      </c>
      <c r="L9">
        <v>12</v>
      </c>
      <c r="M9">
        <f t="shared" si="0"/>
        <v>120</v>
      </c>
    </row>
    <row r="10" spans="1:13">
      <c r="A10" t="s">
        <v>12</v>
      </c>
      <c r="B10" t="s">
        <v>13</v>
      </c>
      <c r="C10" s="1">
        <v>39913</v>
      </c>
      <c r="D10" t="s">
        <v>36</v>
      </c>
      <c r="E10" t="s">
        <v>24</v>
      </c>
      <c r="F10" t="s">
        <v>37</v>
      </c>
      <c r="G10" t="s">
        <v>17</v>
      </c>
      <c r="H10" t="s">
        <v>18</v>
      </c>
      <c r="J10" t="s">
        <v>19</v>
      </c>
      <c r="K10" s="2">
        <v>19</v>
      </c>
      <c r="L10">
        <v>12</v>
      </c>
      <c r="M10">
        <f t="shared" si="0"/>
        <v>228</v>
      </c>
    </row>
    <row r="11" spans="1:13">
      <c r="A11" t="s">
        <v>12</v>
      </c>
      <c r="B11" t="s">
        <v>13</v>
      </c>
      <c r="C11" s="1">
        <v>39477</v>
      </c>
      <c r="D11" t="s">
        <v>38</v>
      </c>
      <c r="E11" t="s">
        <v>24</v>
      </c>
      <c r="F11" t="s">
        <v>29</v>
      </c>
      <c r="G11" t="s">
        <v>39</v>
      </c>
      <c r="H11" t="s">
        <v>18</v>
      </c>
      <c r="J11" t="s">
        <v>19</v>
      </c>
      <c r="K11" s="2">
        <v>49.3</v>
      </c>
      <c r="L11">
        <v>3</v>
      </c>
      <c r="M11">
        <f t="shared" si="0"/>
        <v>147.89999999999998</v>
      </c>
    </row>
    <row r="12" spans="1:13">
      <c r="A12" t="s">
        <v>12</v>
      </c>
      <c r="B12" t="s">
        <v>13</v>
      </c>
      <c r="C12" s="1">
        <v>39477</v>
      </c>
      <c r="D12" t="s">
        <v>40</v>
      </c>
      <c r="E12" t="s">
        <v>24</v>
      </c>
      <c r="F12" t="s">
        <v>41</v>
      </c>
      <c r="G12" t="s">
        <v>39</v>
      </c>
      <c r="H12" t="s">
        <v>18</v>
      </c>
      <c r="J12" t="s">
        <v>19</v>
      </c>
      <c r="K12" s="2">
        <v>2.5</v>
      </c>
      <c r="L12">
        <v>35</v>
      </c>
      <c r="M12">
        <f t="shared" si="0"/>
        <v>87.5</v>
      </c>
    </row>
    <row r="13" spans="1:13">
      <c r="A13" t="s">
        <v>12</v>
      </c>
      <c r="B13" t="s">
        <v>13</v>
      </c>
      <c r="C13" s="1">
        <v>39477</v>
      </c>
      <c r="D13" t="s">
        <v>34</v>
      </c>
      <c r="E13" t="s">
        <v>24</v>
      </c>
      <c r="F13" t="s">
        <v>35</v>
      </c>
      <c r="G13" t="s">
        <v>39</v>
      </c>
      <c r="H13" t="s">
        <v>18</v>
      </c>
      <c r="J13" t="s">
        <v>19</v>
      </c>
      <c r="K13" s="2">
        <v>10</v>
      </c>
      <c r="L13">
        <v>40</v>
      </c>
      <c r="M13">
        <f t="shared" si="0"/>
        <v>400</v>
      </c>
    </row>
    <row r="14" spans="1:13">
      <c r="A14" t="s">
        <v>12</v>
      </c>
      <c r="B14" t="s">
        <v>13</v>
      </c>
      <c r="C14" s="1">
        <v>39477</v>
      </c>
      <c r="D14" t="s">
        <v>42</v>
      </c>
      <c r="E14" t="s">
        <v>24</v>
      </c>
      <c r="F14" t="s">
        <v>22</v>
      </c>
      <c r="G14" t="s">
        <v>39</v>
      </c>
      <c r="H14" t="s">
        <v>18</v>
      </c>
      <c r="J14" t="s">
        <v>19</v>
      </c>
      <c r="K14" s="2">
        <v>62.5</v>
      </c>
      <c r="L14">
        <v>20</v>
      </c>
      <c r="M14">
        <f t="shared" si="0"/>
        <v>1250</v>
      </c>
    </row>
    <row r="15" spans="1:13">
      <c r="A15" t="s">
        <v>12</v>
      </c>
      <c r="B15" t="s">
        <v>13</v>
      </c>
      <c r="C15" s="1">
        <v>39882</v>
      </c>
      <c r="D15" t="s">
        <v>36</v>
      </c>
      <c r="E15" t="s">
        <v>21</v>
      </c>
      <c r="F15" t="s">
        <v>37</v>
      </c>
      <c r="G15" t="s">
        <v>17</v>
      </c>
      <c r="H15" t="s">
        <v>18</v>
      </c>
      <c r="J15" t="s">
        <v>19</v>
      </c>
      <c r="K15" s="2">
        <v>15.2</v>
      </c>
      <c r="L15">
        <v>40</v>
      </c>
      <c r="M15">
        <f t="shared" si="0"/>
        <v>608</v>
      </c>
    </row>
    <row r="16" spans="1:13">
      <c r="A16" t="s">
        <v>12</v>
      </c>
      <c r="B16" t="s">
        <v>13</v>
      </c>
      <c r="C16" s="1">
        <v>40092</v>
      </c>
      <c r="D16" t="s">
        <v>43</v>
      </c>
      <c r="E16" t="s">
        <v>15</v>
      </c>
      <c r="F16" t="s">
        <v>41</v>
      </c>
      <c r="G16" t="s">
        <v>17</v>
      </c>
      <c r="H16" t="s">
        <v>18</v>
      </c>
      <c r="J16" t="s">
        <v>19</v>
      </c>
      <c r="K16" s="2">
        <v>36</v>
      </c>
      <c r="L16">
        <v>30</v>
      </c>
      <c r="M16">
        <f t="shared" si="0"/>
        <v>1080</v>
      </c>
    </row>
    <row r="17" spans="1:13">
      <c r="A17" t="s">
        <v>12</v>
      </c>
      <c r="B17" t="s">
        <v>13</v>
      </c>
      <c r="C17" s="1">
        <v>40099</v>
      </c>
      <c r="D17" t="s">
        <v>44</v>
      </c>
      <c r="E17" t="s">
        <v>24</v>
      </c>
      <c r="F17" t="s">
        <v>45</v>
      </c>
      <c r="G17" t="s">
        <v>17</v>
      </c>
      <c r="H17" t="s">
        <v>18</v>
      </c>
      <c r="J17" t="s">
        <v>19</v>
      </c>
      <c r="K17" s="2">
        <v>18</v>
      </c>
      <c r="L17">
        <v>35</v>
      </c>
      <c r="M17">
        <f t="shared" si="0"/>
        <v>630</v>
      </c>
    </row>
    <row r="18" spans="1:13">
      <c r="A18" t="s">
        <v>12</v>
      </c>
      <c r="B18" t="s">
        <v>13</v>
      </c>
      <c r="C18" s="1">
        <v>40092</v>
      </c>
      <c r="D18" t="s">
        <v>46</v>
      </c>
      <c r="E18" t="s">
        <v>15</v>
      </c>
      <c r="F18" t="s">
        <v>47</v>
      </c>
      <c r="G18" t="s">
        <v>17</v>
      </c>
      <c r="H18" t="s">
        <v>18</v>
      </c>
      <c r="J18" t="s">
        <v>19</v>
      </c>
      <c r="K18" s="2">
        <v>97</v>
      </c>
      <c r="L18">
        <v>6</v>
      </c>
      <c r="M18">
        <f t="shared" si="0"/>
        <v>582</v>
      </c>
    </row>
    <row r="19" spans="1:13">
      <c r="A19" t="s">
        <v>12</v>
      </c>
      <c r="B19" t="s">
        <v>13</v>
      </c>
      <c r="C19" s="1">
        <v>39477</v>
      </c>
      <c r="D19" t="s">
        <v>48</v>
      </c>
      <c r="E19" t="s">
        <v>24</v>
      </c>
      <c r="F19" t="s">
        <v>22</v>
      </c>
      <c r="G19" t="s">
        <v>39</v>
      </c>
      <c r="H19" t="s">
        <v>18</v>
      </c>
      <c r="J19" t="s">
        <v>19</v>
      </c>
      <c r="K19" s="2">
        <v>39</v>
      </c>
      <c r="L19">
        <v>42</v>
      </c>
      <c r="M19">
        <f t="shared" si="0"/>
        <v>1638</v>
      </c>
    </row>
    <row r="20" spans="1:13">
      <c r="A20" t="s">
        <v>12</v>
      </c>
      <c r="B20" t="s">
        <v>13</v>
      </c>
      <c r="C20" s="1">
        <v>39896</v>
      </c>
      <c r="D20" t="s">
        <v>49</v>
      </c>
      <c r="E20" t="s">
        <v>50</v>
      </c>
      <c r="F20" t="s">
        <v>51</v>
      </c>
      <c r="G20" t="s">
        <v>17</v>
      </c>
      <c r="H20" t="s">
        <v>18</v>
      </c>
      <c r="J20" t="s">
        <v>19</v>
      </c>
      <c r="K20" s="2">
        <v>10.4</v>
      </c>
      <c r="L20">
        <v>30</v>
      </c>
      <c r="M20">
        <f t="shared" si="0"/>
        <v>312</v>
      </c>
    </row>
    <row r="21" spans="1:13">
      <c r="A21" t="s">
        <v>12</v>
      </c>
      <c r="B21" t="s">
        <v>13</v>
      </c>
      <c r="C21" s="1">
        <v>39555</v>
      </c>
      <c r="D21" t="s">
        <v>52</v>
      </c>
      <c r="E21" t="s">
        <v>53</v>
      </c>
      <c r="F21" t="s">
        <v>54</v>
      </c>
      <c r="G21" t="s">
        <v>39</v>
      </c>
      <c r="H21" t="s">
        <v>18</v>
      </c>
      <c r="J21" t="s">
        <v>19</v>
      </c>
      <c r="K21" s="2">
        <v>55</v>
      </c>
      <c r="L21">
        <v>30</v>
      </c>
      <c r="M21">
        <f t="shared" si="0"/>
        <v>1650</v>
      </c>
    </row>
    <row r="22" spans="1:13">
      <c r="A22" t="s">
        <v>12</v>
      </c>
      <c r="B22" t="s">
        <v>13</v>
      </c>
      <c r="C22" s="1">
        <v>39555</v>
      </c>
      <c r="D22" t="s">
        <v>55</v>
      </c>
      <c r="E22" t="s">
        <v>53</v>
      </c>
      <c r="F22" t="s">
        <v>56</v>
      </c>
      <c r="G22" t="s">
        <v>39</v>
      </c>
      <c r="H22" t="s">
        <v>18</v>
      </c>
      <c r="J22" t="s">
        <v>19</v>
      </c>
      <c r="K22" s="2">
        <v>263.5</v>
      </c>
      <c r="L22">
        <v>25</v>
      </c>
      <c r="M22">
        <f t="shared" si="0"/>
        <v>6587.5</v>
      </c>
    </row>
    <row r="23" spans="1:13">
      <c r="A23" t="s">
        <v>12</v>
      </c>
      <c r="B23" t="s">
        <v>13</v>
      </c>
      <c r="C23" s="1">
        <v>39555</v>
      </c>
      <c r="D23" t="s">
        <v>57</v>
      </c>
      <c r="E23" t="s">
        <v>53</v>
      </c>
      <c r="F23" t="s">
        <v>58</v>
      </c>
      <c r="G23" t="s">
        <v>39</v>
      </c>
      <c r="H23" t="s">
        <v>18</v>
      </c>
      <c r="J23" t="s">
        <v>19</v>
      </c>
      <c r="K23" s="2">
        <v>19</v>
      </c>
      <c r="L23">
        <v>35</v>
      </c>
      <c r="M23">
        <f t="shared" si="0"/>
        <v>665</v>
      </c>
    </row>
    <row r="24" spans="1:13">
      <c r="A24" t="s">
        <v>12</v>
      </c>
      <c r="B24" t="s">
        <v>13</v>
      </c>
      <c r="C24" s="1">
        <v>39896</v>
      </c>
      <c r="D24" t="s">
        <v>59</v>
      </c>
      <c r="E24" t="s">
        <v>50</v>
      </c>
      <c r="F24" t="s">
        <v>45</v>
      </c>
      <c r="G24" t="s">
        <v>17</v>
      </c>
      <c r="H24" t="s">
        <v>18</v>
      </c>
      <c r="J24" t="s">
        <v>19</v>
      </c>
      <c r="K24" s="2">
        <v>11.2</v>
      </c>
      <c r="L24">
        <v>35</v>
      </c>
      <c r="M24">
        <f t="shared" si="0"/>
        <v>392</v>
      </c>
    </row>
    <row r="25" spans="1:13">
      <c r="A25" t="s">
        <v>12</v>
      </c>
      <c r="B25" t="s">
        <v>13</v>
      </c>
      <c r="C25" s="1">
        <v>40099</v>
      </c>
      <c r="D25" t="s">
        <v>60</v>
      </c>
      <c r="E25" t="s">
        <v>24</v>
      </c>
      <c r="F25" t="s">
        <v>61</v>
      </c>
      <c r="G25" t="s">
        <v>17</v>
      </c>
      <c r="H25" t="s">
        <v>18</v>
      </c>
      <c r="J25" t="s">
        <v>19</v>
      </c>
      <c r="K25" s="2">
        <v>9.5</v>
      </c>
      <c r="L25">
        <v>40</v>
      </c>
      <c r="M25">
        <f t="shared" si="0"/>
        <v>380</v>
      </c>
    </row>
    <row r="26" spans="1:13">
      <c r="A26" t="s">
        <v>12</v>
      </c>
      <c r="B26" t="s">
        <v>13</v>
      </c>
      <c r="C26" s="1">
        <v>40099</v>
      </c>
      <c r="D26" t="s">
        <v>62</v>
      </c>
      <c r="E26" t="s">
        <v>24</v>
      </c>
      <c r="F26" t="s">
        <v>63</v>
      </c>
      <c r="G26" t="s">
        <v>17</v>
      </c>
      <c r="H26" t="s">
        <v>18</v>
      </c>
      <c r="J26" t="s">
        <v>19</v>
      </c>
      <c r="K26" s="2">
        <v>38</v>
      </c>
      <c r="L26">
        <v>14</v>
      </c>
      <c r="M26">
        <f t="shared" si="0"/>
        <v>532</v>
      </c>
    </row>
    <row r="27" spans="1:13">
      <c r="A27" t="s">
        <v>12</v>
      </c>
      <c r="B27" t="s">
        <v>13</v>
      </c>
      <c r="C27" s="1">
        <v>39569</v>
      </c>
      <c r="D27" t="s">
        <v>20</v>
      </c>
      <c r="E27" t="s">
        <v>50</v>
      </c>
      <c r="F27" t="s">
        <v>22</v>
      </c>
      <c r="G27" t="s">
        <v>39</v>
      </c>
      <c r="H27" t="s">
        <v>18</v>
      </c>
      <c r="J27" t="s">
        <v>19</v>
      </c>
      <c r="K27" s="2">
        <v>17.45</v>
      </c>
      <c r="L27">
        <v>3</v>
      </c>
      <c r="M27">
        <f t="shared" si="0"/>
        <v>52.349999999999994</v>
      </c>
    </row>
    <row r="28" spans="1:13">
      <c r="A28" t="s">
        <v>12</v>
      </c>
      <c r="B28" t="s">
        <v>13</v>
      </c>
      <c r="C28" s="1">
        <v>39569</v>
      </c>
      <c r="D28" t="s">
        <v>64</v>
      </c>
      <c r="E28" t="s">
        <v>50</v>
      </c>
      <c r="F28" t="s">
        <v>35</v>
      </c>
      <c r="G28" t="s">
        <v>39</v>
      </c>
      <c r="H28" t="s">
        <v>18</v>
      </c>
      <c r="J28" t="s">
        <v>19</v>
      </c>
      <c r="K28" s="2">
        <v>9.1999999999999993</v>
      </c>
      <c r="L28">
        <v>42</v>
      </c>
      <c r="M28">
        <f t="shared" si="0"/>
        <v>386.4</v>
      </c>
    </row>
    <row r="29" spans="1:13">
      <c r="A29" t="s">
        <v>12</v>
      </c>
      <c r="B29" t="s">
        <v>13</v>
      </c>
      <c r="C29" s="1">
        <v>39569</v>
      </c>
      <c r="D29" t="s">
        <v>59</v>
      </c>
      <c r="E29" t="s">
        <v>50</v>
      </c>
      <c r="F29" t="s">
        <v>45</v>
      </c>
      <c r="G29" t="s">
        <v>39</v>
      </c>
      <c r="H29" t="s">
        <v>18</v>
      </c>
      <c r="J29" t="s">
        <v>19</v>
      </c>
      <c r="K29" s="2">
        <v>14</v>
      </c>
      <c r="L29">
        <v>35</v>
      </c>
      <c r="M29">
        <f t="shared" si="0"/>
        <v>490</v>
      </c>
    </row>
    <row r="30" spans="1:13">
      <c r="A30" t="s">
        <v>12</v>
      </c>
      <c r="B30" t="s">
        <v>13</v>
      </c>
      <c r="C30" s="1">
        <v>40092</v>
      </c>
      <c r="D30" t="s">
        <v>65</v>
      </c>
      <c r="E30" t="s">
        <v>15</v>
      </c>
      <c r="F30" t="s">
        <v>58</v>
      </c>
      <c r="G30" t="s">
        <v>17</v>
      </c>
      <c r="H30" t="s">
        <v>18</v>
      </c>
      <c r="J30" t="s">
        <v>19</v>
      </c>
      <c r="K30" s="2">
        <v>15</v>
      </c>
      <c r="L30">
        <v>15</v>
      </c>
      <c r="M30">
        <f t="shared" si="0"/>
        <v>225</v>
      </c>
    </row>
    <row r="31" spans="1:13">
      <c r="A31" t="s">
        <v>12</v>
      </c>
      <c r="B31" t="s">
        <v>13</v>
      </c>
      <c r="C31" s="1">
        <v>39660</v>
      </c>
      <c r="D31" t="s">
        <v>40</v>
      </c>
      <c r="E31" t="s">
        <v>66</v>
      </c>
      <c r="F31" t="s">
        <v>41</v>
      </c>
      <c r="G31" t="s">
        <v>17</v>
      </c>
      <c r="H31" t="s">
        <v>18</v>
      </c>
      <c r="J31" t="s">
        <v>19</v>
      </c>
      <c r="K31" s="2">
        <v>2</v>
      </c>
      <c r="L31">
        <v>60</v>
      </c>
      <c r="M31">
        <f t="shared" si="0"/>
        <v>120</v>
      </c>
    </row>
    <row r="32" spans="1:13">
      <c r="A32" t="s">
        <v>12</v>
      </c>
      <c r="B32" t="s">
        <v>13</v>
      </c>
      <c r="C32" s="1">
        <v>40094</v>
      </c>
      <c r="D32" t="s">
        <v>48</v>
      </c>
      <c r="E32" t="s">
        <v>67</v>
      </c>
      <c r="F32" t="s">
        <v>22</v>
      </c>
      <c r="G32" t="s">
        <v>17</v>
      </c>
      <c r="H32" t="s">
        <v>18</v>
      </c>
      <c r="J32" t="s">
        <v>19</v>
      </c>
      <c r="K32" s="2">
        <v>39</v>
      </c>
      <c r="L32">
        <v>20</v>
      </c>
      <c r="M32">
        <f t="shared" si="0"/>
        <v>780</v>
      </c>
    </row>
    <row r="33" spans="1:13">
      <c r="A33" t="s">
        <v>12</v>
      </c>
      <c r="B33" t="s">
        <v>13</v>
      </c>
      <c r="C33" s="1">
        <v>39502</v>
      </c>
      <c r="D33" t="s">
        <v>38</v>
      </c>
      <c r="E33" t="s">
        <v>15</v>
      </c>
      <c r="F33" t="s">
        <v>29</v>
      </c>
      <c r="G33" t="s">
        <v>39</v>
      </c>
      <c r="H33" t="s">
        <v>18</v>
      </c>
      <c r="J33" t="s">
        <v>19</v>
      </c>
      <c r="K33" s="2">
        <v>49.3</v>
      </c>
      <c r="L33">
        <v>35</v>
      </c>
      <c r="M33">
        <f t="shared" si="0"/>
        <v>1725.5</v>
      </c>
    </row>
    <row r="34" spans="1:13">
      <c r="A34" t="s">
        <v>12</v>
      </c>
      <c r="B34" t="s">
        <v>13</v>
      </c>
      <c r="C34" s="1">
        <v>39502</v>
      </c>
      <c r="D34" t="s">
        <v>68</v>
      </c>
      <c r="E34" t="s">
        <v>15</v>
      </c>
      <c r="F34" t="s">
        <v>69</v>
      </c>
      <c r="G34" t="s">
        <v>39</v>
      </c>
      <c r="H34" t="s">
        <v>18</v>
      </c>
      <c r="J34" t="s">
        <v>19</v>
      </c>
      <c r="K34" s="2">
        <v>13.25</v>
      </c>
      <c r="L34">
        <v>15</v>
      </c>
      <c r="M34">
        <f t="shared" si="0"/>
        <v>198.75</v>
      </c>
    </row>
    <row r="35" spans="1:13">
      <c r="A35" t="s">
        <v>12</v>
      </c>
      <c r="B35" t="s">
        <v>13</v>
      </c>
      <c r="C35" s="1">
        <v>40094</v>
      </c>
      <c r="D35" t="s">
        <v>70</v>
      </c>
      <c r="E35" t="s">
        <v>67</v>
      </c>
      <c r="F35" t="s">
        <v>61</v>
      </c>
      <c r="G35" t="s">
        <v>17</v>
      </c>
      <c r="H35" t="s">
        <v>18</v>
      </c>
      <c r="J35" t="s">
        <v>19</v>
      </c>
      <c r="K35" s="2">
        <v>12</v>
      </c>
      <c r="L35">
        <v>18</v>
      </c>
      <c r="M35">
        <f t="shared" si="0"/>
        <v>216</v>
      </c>
    </row>
    <row r="36" spans="1:13">
      <c r="A36" t="s">
        <v>12</v>
      </c>
      <c r="B36" t="s">
        <v>13</v>
      </c>
      <c r="C36" s="1">
        <v>40004</v>
      </c>
      <c r="D36" t="s">
        <v>71</v>
      </c>
      <c r="E36" t="s">
        <v>67</v>
      </c>
      <c r="F36" t="s">
        <v>51</v>
      </c>
      <c r="G36" t="s">
        <v>17</v>
      </c>
      <c r="H36" t="s">
        <v>18</v>
      </c>
      <c r="J36" t="s">
        <v>19</v>
      </c>
      <c r="K36" s="2">
        <v>7.75</v>
      </c>
      <c r="L36">
        <v>30</v>
      </c>
      <c r="M36">
        <f t="shared" si="0"/>
        <v>232.5</v>
      </c>
    </row>
    <row r="37" spans="1:13">
      <c r="A37" t="s">
        <v>12</v>
      </c>
      <c r="B37" t="s">
        <v>13</v>
      </c>
      <c r="C37" s="1">
        <v>40004</v>
      </c>
      <c r="D37" t="s">
        <v>72</v>
      </c>
      <c r="E37" t="s">
        <v>67</v>
      </c>
      <c r="F37" t="s">
        <v>22</v>
      </c>
      <c r="G37" t="s">
        <v>17</v>
      </c>
      <c r="H37" t="s">
        <v>18</v>
      </c>
      <c r="J37" t="s">
        <v>19</v>
      </c>
      <c r="K37" s="2">
        <v>43.9</v>
      </c>
      <c r="L37">
        <v>24</v>
      </c>
      <c r="M37">
        <f t="shared" si="0"/>
        <v>1053.5999999999999</v>
      </c>
    </row>
    <row r="38" spans="1:13">
      <c r="A38" t="s">
        <v>12</v>
      </c>
      <c r="B38" t="s">
        <v>13</v>
      </c>
      <c r="C38" s="1">
        <v>39882</v>
      </c>
      <c r="D38" t="s">
        <v>73</v>
      </c>
      <c r="E38" t="s">
        <v>21</v>
      </c>
      <c r="F38" t="s">
        <v>74</v>
      </c>
      <c r="G38" t="s">
        <v>17</v>
      </c>
      <c r="H38" t="s">
        <v>18</v>
      </c>
      <c r="J38" t="s">
        <v>19</v>
      </c>
      <c r="K38" s="2">
        <v>15.5</v>
      </c>
      <c r="L38">
        <v>2</v>
      </c>
      <c r="M38">
        <f t="shared" si="0"/>
        <v>31</v>
      </c>
    </row>
    <row r="39" spans="1:13">
      <c r="A39" t="s">
        <v>12</v>
      </c>
      <c r="B39" t="s">
        <v>13</v>
      </c>
      <c r="C39" s="1">
        <v>39660</v>
      </c>
      <c r="D39" t="s">
        <v>75</v>
      </c>
      <c r="E39" t="s">
        <v>66</v>
      </c>
      <c r="F39" t="s">
        <v>76</v>
      </c>
      <c r="G39" t="s">
        <v>17</v>
      </c>
      <c r="H39" t="s">
        <v>18</v>
      </c>
      <c r="J39" t="s">
        <v>19</v>
      </c>
      <c r="K39" s="2">
        <v>27.8</v>
      </c>
      <c r="L39">
        <v>20</v>
      </c>
      <c r="M39">
        <f t="shared" si="0"/>
        <v>556</v>
      </c>
    </row>
    <row r="40" spans="1:13">
      <c r="A40" t="s">
        <v>12</v>
      </c>
      <c r="B40" t="s">
        <v>13</v>
      </c>
      <c r="C40" s="1">
        <v>40099</v>
      </c>
      <c r="D40" t="s">
        <v>77</v>
      </c>
      <c r="E40" t="s">
        <v>24</v>
      </c>
      <c r="F40" t="s">
        <v>51</v>
      </c>
      <c r="G40" t="s">
        <v>17</v>
      </c>
      <c r="H40" t="s">
        <v>18</v>
      </c>
      <c r="J40" t="s">
        <v>19</v>
      </c>
      <c r="K40" s="2">
        <v>45.6</v>
      </c>
      <c r="L40">
        <v>5</v>
      </c>
      <c r="M40">
        <f t="shared" si="0"/>
        <v>228</v>
      </c>
    </row>
    <row r="41" spans="1:13">
      <c r="A41" t="s">
        <v>12</v>
      </c>
      <c r="B41" t="s">
        <v>13</v>
      </c>
      <c r="C41" s="1">
        <v>40004</v>
      </c>
      <c r="D41" t="s">
        <v>62</v>
      </c>
      <c r="E41" t="s">
        <v>67</v>
      </c>
      <c r="F41" t="s">
        <v>63</v>
      </c>
      <c r="G41" t="s">
        <v>17</v>
      </c>
      <c r="H41" t="s">
        <v>18</v>
      </c>
      <c r="J41" t="s">
        <v>19</v>
      </c>
      <c r="K41" s="2">
        <v>38</v>
      </c>
      <c r="L41">
        <v>5</v>
      </c>
      <c r="M41">
        <f t="shared" si="0"/>
        <v>190</v>
      </c>
    </row>
    <row r="42" spans="1:13">
      <c r="A42" t="s">
        <v>78</v>
      </c>
      <c r="B42" t="s">
        <v>79</v>
      </c>
      <c r="C42" s="1">
        <v>40113</v>
      </c>
      <c r="D42" t="s">
        <v>42</v>
      </c>
      <c r="E42" t="s">
        <v>67</v>
      </c>
      <c r="F42" t="s">
        <v>22</v>
      </c>
      <c r="G42" t="s">
        <v>39</v>
      </c>
      <c r="H42" t="s">
        <v>80</v>
      </c>
      <c r="J42" t="s">
        <v>81</v>
      </c>
      <c r="K42" s="2">
        <v>62.5</v>
      </c>
      <c r="L42">
        <v>21</v>
      </c>
      <c r="M42">
        <f t="shared" si="0"/>
        <v>1312.5</v>
      </c>
    </row>
    <row r="43" spans="1:13">
      <c r="A43" t="s">
        <v>78</v>
      </c>
      <c r="B43" t="s">
        <v>79</v>
      </c>
      <c r="C43" s="1">
        <v>39708</v>
      </c>
      <c r="D43" t="s">
        <v>82</v>
      </c>
      <c r="E43" t="s">
        <v>21</v>
      </c>
      <c r="F43" t="s">
        <v>35</v>
      </c>
      <c r="G43" t="s">
        <v>17</v>
      </c>
      <c r="H43" t="s">
        <v>80</v>
      </c>
      <c r="J43" t="s">
        <v>81</v>
      </c>
      <c r="K43" s="2">
        <v>10</v>
      </c>
      <c r="L43">
        <v>8</v>
      </c>
      <c r="M43">
        <f t="shared" si="0"/>
        <v>80</v>
      </c>
    </row>
    <row r="44" spans="1:13">
      <c r="A44" t="s">
        <v>78</v>
      </c>
      <c r="B44" t="s">
        <v>79</v>
      </c>
      <c r="C44" s="1">
        <v>39736</v>
      </c>
      <c r="D44" t="s">
        <v>83</v>
      </c>
      <c r="E44" t="s">
        <v>24</v>
      </c>
      <c r="F44" t="s">
        <v>84</v>
      </c>
      <c r="G44" t="s">
        <v>17</v>
      </c>
      <c r="H44" t="s">
        <v>80</v>
      </c>
      <c r="J44" t="s">
        <v>81</v>
      </c>
      <c r="K44" s="2">
        <v>20.7</v>
      </c>
      <c r="L44">
        <v>8</v>
      </c>
      <c r="M44">
        <f t="shared" si="0"/>
        <v>165.6</v>
      </c>
    </row>
    <row r="45" spans="1:13">
      <c r="A45" t="s">
        <v>78</v>
      </c>
      <c r="B45" t="s">
        <v>79</v>
      </c>
      <c r="C45" s="1">
        <v>39455</v>
      </c>
      <c r="D45" t="s">
        <v>85</v>
      </c>
      <c r="E45" t="s">
        <v>21</v>
      </c>
      <c r="F45" t="s">
        <v>33</v>
      </c>
      <c r="G45" t="s">
        <v>39</v>
      </c>
      <c r="H45" t="s">
        <v>80</v>
      </c>
      <c r="J45" t="s">
        <v>81</v>
      </c>
      <c r="K45" s="2">
        <v>53</v>
      </c>
      <c r="L45">
        <v>6</v>
      </c>
      <c r="M45">
        <f t="shared" si="0"/>
        <v>318</v>
      </c>
    </row>
    <row r="46" spans="1:13">
      <c r="A46" t="s">
        <v>78</v>
      </c>
      <c r="B46" t="s">
        <v>79</v>
      </c>
      <c r="C46" s="1">
        <v>39455</v>
      </c>
      <c r="D46" t="s">
        <v>44</v>
      </c>
      <c r="E46" t="s">
        <v>21</v>
      </c>
      <c r="F46" t="s">
        <v>45</v>
      </c>
      <c r="G46" t="s">
        <v>39</v>
      </c>
      <c r="H46" t="s">
        <v>80</v>
      </c>
      <c r="J46" t="s">
        <v>81</v>
      </c>
      <c r="K46" s="2">
        <v>18</v>
      </c>
      <c r="L46">
        <v>20</v>
      </c>
      <c r="M46">
        <f t="shared" si="0"/>
        <v>360</v>
      </c>
    </row>
    <row r="47" spans="1:13">
      <c r="A47" t="s">
        <v>78</v>
      </c>
      <c r="B47" t="s">
        <v>79</v>
      </c>
      <c r="C47" s="1">
        <v>39736</v>
      </c>
      <c r="D47" t="s">
        <v>55</v>
      </c>
      <c r="E47" t="s">
        <v>24</v>
      </c>
      <c r="F47" t="s">
        <v>56</v>
      </c>
      <c r="G47" t="s">
        <v>17</v>
      </c>
      <c r="H47" t="s">
        <v>80</v>
      </c>
      <c r="J47" t="s">
        <v>81</v>
      </c>
      <c r="K47" s="2">
        <v>210.8</v>
      </c>
      <c r="L47">
        <v>20</v>
      </c>
      <c r="M47">
        <f t="shared" si="0"/>
        <v>4216</v>
      </c>
    </row>
    <row r="48" spans="1:13">
      <c r="A48" t="s">
        <v>78</v>
      </c>
      <c r="B48" t="s">
        <v>79</v>
      </c>
      <c r="C48" s="1">
        <v>39708</v>
      </c>
      <c r="D48" t="s">
        <v>86</v>
      </c>
      <c r="E48" t="s">
        <v>21</v>
      </c>
      <c r="F48" t="s">
        <v>54</v>
      </c>
      <c r="G48" t="s">
        <v>17</v>
      </c>
      <c r="H48" t="s">
        <v>80</v>
      </c>
      <c r="J48" t="s">
        <v>81</v>
      </c>
      <c r="K48" s="2">
        <v>27.2</v>
      </c>
      <c r="L48">
        <v>20</v>
      </c>
      <c r="M48">
        <f t="shared" si="0"/>
        <v>544</v>
      </c>
    </row>
    <row r="49" spans="1:13">
      <c r="A49" t="s">
        <v>78</v>
      </c>
      <c r="B49" t="s">
        <v>79</v>
      </c>
      <c r="C49" s="1">
        <v>39708</v>
      </c>
      <c r="D49" t="s">
        <v>87</v>
      </c>
      <c r="E49" t="s">
        <v>21</v>
      </c>
      <c r="F49" t="s">
        <v>25</v>
      </c>
      <c r="G49" t="s">
        <v>17</v>
      </c>
      <c r="H49" t="s">
        <v>80</v>
      </c>
      <c r="J49" t="s">
        <v>81</v>
      </c>
      <c r="K49" s="2">
        <v>24</v>
      </c>
      <c r="L49">
        <v>10</v>
      </c>
      <c r="M49">
        <f t="shared" si="0"/>
        <v>240</v>
      </c>
    </row>
    <row r="50" spans="1:13">
      <c r="A50" t="s">
        <v>78</v>
      </c>
      <c r="B50" t="s">
        <v>79</v>
      </c>
      <c r="C50" s="1">
        <v>39736</v>
      </c>
      <c r="D50" t="s">
        <v>62</v>
      </c>
      <c r="E50" t="s">
        <v>24</v>
      </c>
      <c r="F50" t="s">
        <v>63</v>
      </c>
      <c r="G50" t="s">
        <v>17</v>
      </c>
      <c r="H50" t="s">
        <v>80</v>
      </c>
      <c r="J50" t="s">
        <v>81</v>
      </c>
      <c r="K50" s="2">
        <v>30.4</v>
      </c>
      <c r="L50">
        <v>12</v>
      </c>
      <c r="M50">
        <f t="shared" si="0"/>
        <v>364.79999999999995</v>
      </c>
    </row>
    <row r="51" spans="1:13">
      <c r="A51" t="s">
        <v>78</v>
      </c>
      <c r="B51" t="s">
        <v>79</v>
      </c>
      <c r="C51" s="1">
        <v>40113</v>
      </c>
      <c r="D51" t="s">
        <v>43</v>
      </c>
      <c r="E51" t="s">
        <v>67</v>
      </c>
      <c r="F51" t="s">
        <v>41</v>
      </c>
      <c r="G51" t="s">
        <v>39</v>
      </c>
      <c r="H51" t="s">
        <v>80</v>
      </c>
      <c r="J51" t="s">
        <v>81</v>
      </c>
      <c r="K51" s="2">
        <v>36</v>
      </c>
      <c r="L51">
        <v>20</v>
      </c>
      <c r="M51">
        <f t="shared" si="0"/>
        <v>720</v>
      </c>
    </row>
    <row r="52" spans="1:13">
      <c r="A52" t="s">
        <v>78</v>
      </c>
      <c r="B52" t="s">
        <v>79</v>
      </c>
      <c r="C52" s="1">
        <v>39844</v>
      </c>
      <c r="D52" t="s">
        <v>14</v>
      </c>
      <c r="E52" t="s">
        <v>15</v>
      </c>
      <c r="F52" t="s">
        <v>16</v>
      </c>
      <c r="G52" t="s">
        <v>17</v>
      </c>
      <c r="H52" t="s">
        <v>80</v>
      </c>
      <c r="J52" t="s">
        <v>81</v>
      </c>
      <c r="K52" s="2">
        <v>5.9</v>
      </c>
      <c r="L52">
        <v>40</v>
      </c>
      <c r="M52">
        <f t="shared" si="0"/>
        <v>236</v>
      </c>
    </row>
    <row r="53" spans="1:13">
      <c r="A53" t="s">
        <v>78</v>
      </c>
      <c r="B53" t="s">
        <v>79</v>
      </c>
      <c r="C53" s="1">
        <v>39736</v>
      </c>
      <c r="D53" t="s">
        <v>64</v>
      </c>
      <c r="E53" t="s">
        <v>24</v>
      </c>
      <c r="F53" t="s">
        <v>35</v>
      </c>
      <c r="G53" t="s">
        <v>17</v>
      </c>
      <c r="H53" t="s">
        <v>80</v>
      </c>
      <c r="J53" t="s">
        <v>81</v>
      </c>
      <c r="K53" s="2">
        <v>7.3</v>
      </c>
      <c r="L53">
        <v>10</v>
      </c>
      <c r="M53">
        <f t="shared" si="0"/>
        <v>73</v>
      </c>
    </row>
    <row r="54" spans="1:13">
      <c r="A54" t="s">
        <v>78</v>
      </c>
      <c r="B54" t="s">
        <v>79</v>
      </c>
      <c r="C54" s="1">
        <v>39693</v>
      </c>
      <c r="D54" t="s">
        <v>62</v>
      </c>
      <c r="E54" t="s">
        <v>67</v>
      </c>
      <c r="F54" t="s">
        <v>63</v>
      </c>
      <c r="G54" t="s">
        <v>17</v>
      </c>
      <c r="H54" t="s">
        <v>80</v>
      </c>
      <c r="J54" t="s">
        <v>81</v>
      </c>
      <c r="K54" s="2">
        <v>30.4</v>
      </c>
      <c r="L54">
        <v>18</v>
      </c>
      <c r="M54">
        <f t="shared" si="0"/>
        <v>547.19999999999993</v>
      </c>
    </row>
    <row r="55" spans="1:13">
      <c r="A55" t="s">
        <v>78</v>
      </c>
      <c r="B55" t="s">
        <v>79</v>
      </c>
      <c r="C55" s="1">
        <v>39693</v>
      </c>
      <c r="D55" t="s">
        <v>88</v>
      </c>
      <c r="E55" t="s">
        <v>67</v>
      </c>
      <c r="F55" t="s">
        <v>51</v>
      </c>
      <c r="G55" t="s">
        <v>17</v>
      </c>
      <c r="H55" t="s">
        <v>80</v>
      </c>
      <c r="J55" t="s">
        <v>81</v>
      </c>
      <c r="K55" s="2">
        <v>99</v>
      </c>
      <c r="L55">
        <v>20</v>
      </c>
      <c r="M55">
        <f t="shared" si="0"/>
        <v>1980</v>
      </c>
    </row>
    <row r="56" spans="1:13">
      <c r="A56" t="s">
        <v>78</v>
      </c>
      <c r="B56" t="s">
        <v>79</v>
      </c>
      <c r="C56" s="1">
        <v>39661</v>
      </c>
      <c r="D56" t="s">
        <v>40</v>
      </c>
      <c r="E56" t="s">
        <v>89</v>
      </c>
      <c r="F56" t="s">
        <v>41</v>
      </c>
      <c r="G56" t="s">
        <v>17</v>
      </c>
      <c r="H56" t="s">
        <v>80</v>
      </c>
      <c r="J56" t="s">
        <v>81</v>
      </c>
      <c r="K56" s="2">
        <v>2</v>
      </c>
      <c r="L56">
        <v>24</v>
      </c>
      <c r="M56">
        <f t="shared" si="0"/>
        <v>48</v>
      </c>
    </row>
    <row r="57" spans="1:13">
      <c r="A57" t="s">
        <v>78</v>
      </c>
      <c r="B57" t="s">
        <v>79</v>
      </c>
      <c r="C57" s="1">
        <v>39729</v>
      </c>
      <c r="D57" t="s">
        <v>14</v>
      </c>
      <c r="E57" t="s">
        <v>50</v>
      </c>
      <c r="F57" t="s">
        <v>16</v>
      </c>
      <c r="G57" t="s">
        <v>17</v>
      </c>
      <c r="H57" t="s">
        <v>80</v>
      </c>
      <c r="J57" t="s">
        <v>81</v>
      </c>
      <c r="K57" s="2">
        <v>5.9</v>
      </c>
      <c r="L57">
        <v>24</v>
      </c>
      <c r="M57">
        <f t="shared" si="0"/>
        <v>141.60000000000002</v>
      </c>
    </row>
    <row r="58" spans="1:13">
      <c r="A58" t="s">
        <v>78</v>
      </c>
      <c r="B58" t="s">
        <v>79</v>
      </c>
      <c r="C58" s="1">
        <v>39532</v>
      </c>
      <c r="D58" t="s">
        <v>72</v>
      </c>
      <c r="E58" t="s">
        <v>15</v>
      </c>
      <c r="F58" t="s">
        <v>22</v>
      </c>
      <c r="G58" t="s">
        <v>39</v>
      </c>
      <c r="H58" t="s">
        <v>80</v>
      </c>
      <c r="J58" t="s">
        <v>81</v>
      </c>
      <c r="K58" s="2">
        <v>43.9</v>
      </c>
      <c r="L58">
        <v>10</v>
      </c>
      <c r="M58">
        <f t="shared" si="0"/>
        <v>439</v>
      </c>
    </row>
    <row r="59" spans="1:13">
      <c r="A59" t="s">
        <v>78</v>
      </c>
      <c r="B59" t="s">
        <v>79</v>
      </c>
      <c r="C59" s="1">
        <v>40113</v>
      </c>
      <c r="D59" t="s">
        <v>57</v>
      </c>
      <c r="E59" t="s">
        <v>67</v>
      </c>
      <c r="F59" t="s">
        <v>58</v>
      </c>
      <c r="G59" t="s">
        <v>39</v>
      </c>
      <c r="H59" t="s">
        <v>80</v>
      </c>
      <c r="J59" t="s">
        <v>81</v>
      </c>
      <c r="K59" s="2">
        <v>19</v>
      </c>
      <c r="L59">
        <v>20</v>
      </c>
      <c r="M59">
        <f t="shared" si="0"/>
        <v>380</v>
      </c>
    </row>
    <row r="60" spans="1:13">
      <c r="A60" t="s">
        <v>78</v>
      </c>
      <c r="B60" t="s">
        <v>79</v>
      </c>
      <c r="C60" s="1">
        <v>40113</v>
      </c>
      <c r="D60" t="s">
        <v>82</v>
      </c>
      <c r="E60" t="s">
        <v>67</v>
      </c>
      <c r="F60" t="s">
        <v>35</v>
      </c>
      <c r="G60" t="s">
        <v>39</v>
      </c>
      <c r="H60" t="s">
        <v>80</v>
      </c>
      <c r="J60" t="s">
        <v>81</v>
      </c>
      <c r="K60" s="2">
        <v>12.5</v>
      </c>
      <c r="L60">
        <v>6</v>
      </c>
      <c r="M60">
        <f t="shared" si="0"/>
        <v>75</v>
      </c>
    </row>
    <row r="61" spans="1:13">
      <c r="A61" t="s">
        <v>78</v>
      </c>
      <c r="B61" t="s">
        <v>79</v>
      </c>
      <c r="C61" s="1">
        <v>39844</v>
      </c>
      <c r="D61" t="s">
        <v>30</v>
      </c>
      <c r="E61" t="s">
        <v>15</v>
      </c>
      <c r="F61" t="s">
        <v>31</v>
      </c>
      <c r="G61" t="s">
        <v>17</v>
      </c>
      <c r="H61" t="s">
        <v>80</v>
      </c>
      <c r="J61" t="s">
        <v>81</v>
      </c>
      <c r="K61" s="2">
        <v>24.9</v>
      </c>
      <c r="L61">
        <v>10</v>
      </c>
      <c r="M61">
        <f t="shared" si="0"/>
        <v>249</v>
      </c>
    </row>
    <row r="62" spans="1:13">
      <c r="A62" t="s">
        <v>90</v>
      </c>
      <c r="B62" t="s">
        <v>91</v>
      </c>
      <c r="C62" s="1">
        <v>39903</v>
      </c>
      <c r="D62" t="s">
        <v>49</v>
      </c>
      <c r="E62" t="s">
        <v>67</v>
      </c>
      <c r="F62" t="s">
        <v>51</v>
      </c>
      <c r="G62" t="s">
        <v>17</v>
      </c>
      <c r="H62" t="s">
        <v>92</v>
      </c>
      <c r="J62" t="s">
        <v>93</v>
      </c>
      <c r="K62" s="2">
        <v>10.4</v>
      </c>
      <c r="L62">
        <v>7</v>
      </c>
      <c r="M62">
        <f t="shared" si="0"/>
        <v>72.8</v>
      </c>
    </row>
    <row r="63" spans="1:13">
      <c r="A63" t="s">
        <v>90</v>
      </c>
      <c r="B63" t="s">
        <v>91</v>
      </c>
      <c r="C63" s="1">
        <v>39903</v>
      </c>
      <c r="D63" t="s">
        <v>73</v>
      </c>
      <c r="E63" t="s">
        <v>67</v>
      </c>
      <c r="F63" t="s">
        <v>74</v>
      </c>
      <c r="G63" t="s">
        <v>17</v>
      </c>
      <c r="H63" t="s">
        <v>92</v>
      </c>
      <c r="J63" t="s">
        <v>93</v>
      </c>
      <c r="K63" s="2">
        <v>15.5</v>
      </c>
      <c r="L63">
        <v>15</v>
      </c>
      <c r="M63">
        <f t="shared" si="0"/>
        <v>232.5</v>
      </c>
    </row>
    <row r="64" spans="1:13">
      <c r="A64" t="s">
        <v>90</v>
      </c>
      <c r="B64" t="s">
        <v>91</v>
      </c>
      <c r="C64" s="1">
        <v>39876</v>
      </c>
      <c r="D64" t="s">
        <v>94</v>
      </c>
      <c r="E64" t="s">
        <v>24</v>
      </c>
      <c r="F64" t="s">
        <v>74</v>
      </c>
      <c r="G64" t="s">
        <v>17</v>
      </c>
      <c r="H64" t="s">
        <v>92</v>
      </c>
      <c r="J64" t="s">
        <v>93</v>
      </c>
      <c r="K64" s="2">
        <v>36.799999999999997</v>
      </c>
      <c r="L64">
        <v>3</v>
      </c>
      <c r="M64">
        <f t="shared" si="0"/>
        <v>110.39999999999999</v>
      </c>
    </row>
    <row r="65" spans="1:13">
      <c r="A65" t="s">
        <v>90</v>
      </c>
      <c r="B65" t="s">
        <v>91</v>
      </c>
      <c r="C65" s="1">
        <v>39876</v>
      </c>
      <c r="D65" t="s">
        <v>26</v>
      </c>
      <c r="E65" t="s">
        <v>24</v>
      </c>
      <c r="F65" t="s">
        <v>27</v>
      </c>
      <c r="G65" t="s">
        <v>17</v>
      </c>
      <c r="H65" t="s">
        <v>92</v>
      </c>
      <c r="J65" t="s">
        <v>93</v>
      </c>
      <c r="K65" s="2">
        <v>17.600000000000001</v>
      </c>
      <c r="L65">
        <v>16</v>
      </c>
      <c r="M65">
        <f t="shared" si="0"/>
        <v>281.60000000000002</v>
      </c>
    </row>
    <row r="66" spans="1:13">
      <c r="A66" t="s">
        <v>90</v>
      </c>
      <c r="B66" t="s">
        <v>91</v>
      </c>
      <c r="C66" s="1">
        <v>39735</v>
      </c>
      <c r="D66" t="s">
        <v>82</v>
      </c>
      <c r="E66" t="s">
        <v>24</v>
      </c>
      <c r="F66" t="s">
        <v>35</v>
      </c>
      <c r="G66" t="s">
        <v>17</v>
      </c>
      <c r="H66" t="s">
        <v>92</v>
      </c>
      <c r="J66" t="s">
        <v>93</v>
      </c>
      <c r="K66" s="2">
        <v>10</v>
      </c>
      <c r="L66">
        <v>10</v>
      </c>
      <c r="M66">
        <f t="shared" si="0"/>
        <v>100</v>
      </c>
    </row>
    <row r="67" spans="1:13">
      <c r="A67" t="s">
        <v>90</v>
      </c>
      <c r="B67" t="s">
        <v>91</v>
      </c>
      <c r="C67" s="1">
        <v>39876</v>
      </c>
      <c r="D67" t="s">
        <v>62</v>
      </c>
      <c r="E67" t="s">
        <v>24</v>
      </c>
      <c r="F67" t="s">
        <v>63</v>
      </c>
      <c r="G67" t="s">
        <v>17</v>
      </c>
      <c r="H67" t="s">
        <v>92</v>
      </c>
      <c r="J67" t="s">
        <v>93</v>
      </c>
      <c r="K67" s="2">
        <v>30.4</v>
      </c>
      <c r="L67">
        <v>30</v>
      </c>
      <c r="M67">
        <f t="shared" ref="M67:M130" si="1">K67*L67</f>
        <v>912</v>
      </c>
    </row>
    <row r="68" spans="1:13">
      <c r="A68" t="s">
        <v>90</v>
      </c>
      <c r="B68" t="s">
        <v>91</v>
      </c>
      <c r="C68" s="1">
        <v>39876</v>
      </c>
      <c r="D68" t="s">
        <v>86</v>
      </c>
      <c r="E68" t="s">
        <v>24</v>
      </c>
      <c r="F68" t="s">
        <v>54</v>
      </c>
      <c r="G68" t="s">
        <v>17</v>
      </c>
      <c r="H68" t="s">
        <v>92</v>
      </c>
      <c r="J68" t="s">
        <v>93</v>
      </c>
      <c r="K68" s="2">
        <v>27.2</v>
      </c>
      <c r="L68">
        <v>20</v>
      </c>
      <c r="M68">
        <f t="shared" si="1"/>
        <v>544</v>
      </c>
    </row>
    <row r="69" spans="1:13">
      <c r="A69" t="s">
        <v>90</v>
      </c>
      <c r="B69" t="s">
        <v>91</v>
      </c>
      <c r="C69" s="1">
        <v>39735</v>
      </c>
      <c r="D69" t="s">
        <v>95</v>
      </c>
      <c r="E69" t="s">
        <v>24</v>
      </c>
      <c r="F69" t="s">
        <v>27</v>
      </c>
      <c r="G69" t="s">
        <v>17</v>
      </c>
      <c r="H69" t="s">
        <v>92</v>
      </c>
      <c r="J69" t="s">
        <v>93</v>
      </c>
      <c r="K69" s="2">
        <v>16.8</v>
      </c>
      <c r="L69">
        <v>40</v>
      </c>
      <c r="M69">
        <f t="shared" si="1"/>
        <v>672</v>
      </c>
    </row>
    <row r="70" spans="1:13">
      <c r="A70" t="s">
        <v>90</v>
      </c>
      <c r="B70" t="s">
        <v>91</v>
      </c>
      <c r="C70" s="1">
        <v>40012</v>
      </c>
      <c r="D70" t="s">
        <v>96</v>
      </c>
      <c r="E70" t="s">
        <v>21</v>
      </c>
      <c r="F70" t="s">
        <v>97</v>
      </c>
      <c r="G70" t="s">
        <v>17</v>
      </c>
      <c r="H70" t="s">
        <v>92</v>
      </c>
      <c r="J70" t="s">
        <v>93</v>
      </c>
      <c r="K70" s="2">
        <v>18</v>
      </c>
      <c r="L70">
        <v>10</v>
      </c>
      <c r="M70">
        <f t="shared" si="1"/>
        <v>180</v>
      </c>
    </row>
    <row r="71" spans="1:13">
      <c r="A71" t="s">
        <v>90</v>
      </c>
      <c r="B71" t="s">
        <v>91</v>
      </c>
      <c r="C71" s="1">
        <v>39730</v>
      </c>
      <c r="D71" t="s">
        <v>14</v>
      </c>
      <c r="E71" t="s">
        <v>15</v>
      </c>
      <c r="F71" t="s">
        <v>16</v>
      </c>
      <c r="G71" t="s">
        <v>17</v>
      </c>
      <c r="H71" t="s">
        <v>92</v>
      </c>
      <c r="J71" t="s">
        <v>93</v>
      </c>
      <c r="K71" s="2">
        <v>5.9</v>
      </c>
      <c r="L71">
        <v>20</v>
      </c>
      <c r="M71">
        <f t="shared" si="1"/>
        <v>118</v>
      </c>
    </row>
    <row r="72" spans="1:13">
      <c r="A72" t="s">
        <v>90</v>
      </c>
      <c r="B72" t="s">
        <v>91</v>
      </c>
      <c r="C72" s="1">
        <v>39730</v>
      </c>
      <c r="D72" t="s">
        <v>98</v>
      </c>
      <c r="E72" t="s">
        <v>15</v>
      </c>
      <c r="F72" t="s">
        <v>99</v>
      </c>
      <c r="G72" t="s">
        <v>17</v>
      </c>
      <c r="H72" t="s">
        <v>92</v>
      </c>
      <c r="J72" t="s">
        <v>93</v>
      </c>
      <c r="K72" s="2">
        <v>3.6</v>
      </c>
      <c r="L72">
        <v>10</v>
      </c>
      <c r="M72">
        <f t="shared" si="1"/>
        <v>36</v>
      </c>
    </row>
    <row r="73" spans="1:13">
      <c r="A73" t="s">
        <v>90</v>
      </c>
      <c r="B73" t="s">
        <v>91</v>
      </c>
      <c r="C73" s="1">
        <v>39961</v>
      </c>
      <c r="D73" t="s">
        <v>20</v>
      </c>
      <c r="E73" t="s">
        <v>24</v>
      </c>
      <c r="F73" t="s">
        <v>22</v>
      </c>
      <c r="G73" t="s">
        <v>17</v>
      </c>
      <c r="H73" t="s">
        <v>92</v>
      </c>
      <c r="J73" t="s">
        <v>93</v>
      </c>
      <c r="K73" s="2">
        <v>17.45</v>
      </c>
      <c r="L73">
        <v>40</v>
      </c>
      <c r="M73">
        <f t="shared" si="1"/>
        <v>698</v>
      </c>
    </row>
    <row r="74" spans="1:13">
      <c r="A74" t="s">
        <v>90</v>
      </c>
      <c r="B74" t="s">
        <v>91</v>
      </c>
      <c r="C74" s="1">
        <v>39961</v>
      </c>
      <c r="D74" t="s">
        <v>44</v>
      </c>
      <c r="E74" t="s">
        <v>24</v>
      </c>
      <c r="F74" t="s">
        <v>45</v>
      </c>
      <c r="G74" t="s">
        <v>17</v>
      </c>
      <c r="H74" t="s">
        <v>92</v>
      </c>
      <c r="J74" t="s">
        <v>93</v>
      </c>
      <c r="K74" s="2">
        <v>18</v>
      </c>
      <c r="L74">
        <v>20</v>
      </c>
      <c r="M74">
        <f t="shared" si="1"/>
        <v>360</v>
      </c>
    </row>
    <row r="75" spans="1:13">
      <c r="A75" t="s">
        <v>90</v>
      </c>
      <c r="B75" t="s">
        <v>91</v>
      </c>
      <c r="C75" s="1">
        <v>39961</v>
      </c>
      <c r="D75" t="s">
        <v>73</v>
      </c>
      <c r="E75" t="s">
        <v>24</v>
      </c>
      <c r="F75" t="s">
        <v>74</v>
      </c>
      <c r="G75" t="s">
        <v>17</v>
      </c>
      <c r="H75" t="s">
        <v>92</v>
      </c>
      <c r="J75" t="s">
        <v>93</v>
      </c>
      <c r="K75" s="2">
        <v>19.45</v>
      </c>
      <c r="L75">
        <v>40</v>
      </c>
      <c r="M75">
        <f t="shared" si="1"/>
        <v>778</v>
      </c>
    </row>
    <row r="76" spans="1:13">
      <c r="A76" t="s">
        <v>90</v>
      </c>
      <c r="B76" t="s">
        <v>91</v>
      </c>
      <c r="C76" s="1">
        <v>39735</v>
      </c>
      <c r="D76" t="s">
        <v>52</v>
      </c>
      <c r="E76" t="s">
        <v>24</v>
      </c>
      <c r="F76" t="s">
        <v>54</v>
      </c>
      <c r="G76" t="s">
        <v>17</v>
      </c>
      <c r="H76" t="s">
        <v>92</v>
      </c>
      <c r="J76" t="s">
        <v>93</v>
      </c>
      <c r="K76" s="2">
        <v>44</v>
      </c>
      <c r="L76">
        <v>9</v>
      </c>
      <c r="M76">
        <f t="shared" si="1"/>
        <v>396</v>
      </c>
    </row>
    <row r="77" spans="1:13">
      <c r="A77" t="s">
        <v>90</v>
      </c>
      <c r="B77" t="s">
        <v>91</v>
      </c>
      <c r="C77" s="1">
        <v>40012</v>
      </c>
      <c r="D77" t="s">
        <v>100</v>
      </c>
      <c r="E77" t="s">
        <v>21</v>
      </c>
      <c r="F77" t="s">
        <v>101</v>
      </c>
      <c r="G77" t="s">
        <v>17</v>
      </c>
      <c r="H77" t="s">
        <v>92</v>
      </c>
      <c r="J77" t="s">
        <v>93</v>
      </c>
      <c r="K77" s="2">
        <v>12.75</v>
      </c>
      <c r="L77">
        <v>6</v>
      </c>
      <c r="M77">
        <f t="shared" si="1"/>
        <v>76.5</v>
      </c>
    </row>
    <row r="78" spans="1:13">
      <c r="A78" t="s">
        <v>90</v>
      </c>
      <c r="B78" t="s">
        <v>91</v>
      </c>
      <c r="C78" s="1">
        <v>40066</v>
      </c>
      <c r="D78" t="s">
        <v>102</v>
      </c>
      <c r="E78" t="s">
        <v>21</v>
      </c>
      <c r="F78" t="s">
        <v>47</v>
      </c>
      <c r="G78" t="s">
        <v>17</v>
      </c>
      <c r="H78" t="s">
        <v>92</v>
      </c>
      <c r="J78" t="s">
        <v>93</v>
      </c>
      <c r="K78" s="2">
        <v>31</v>
      </c>
      <c r="L78">
        <v>24</v>
      </c>
      <c r="M78">
        <f t="shared" si="1"/>
        <v>744</v>
      </c>
    </row>
    <row r="79" spans="1:13">
      <c r="A79" t="s">
        <v>90</v>
      </c>
      <c r="B79" t="s">
        <v>91</v>
      </c>
      <c r="C79" s="1">
        <v>40066</v>
      </c>
      <c r="D79" t="s">
        <v>62</v>
      </c>
      <c r="E79" t="s">
        <v>21</v>
      </c>
      <c r="F79" t="s">
        <v>63</v>
      </c>
      <c r="G79" t="s">
        <v>17</v>
      </c>
      <c r="H79" t="s">
        <v>92</v>
      </c>
      <c r="J79" t="s">
        <v>93</v>
      </c>
      <c r="K79" s="2">
        <v>38</v>
      </c>
      <c r="L79">
        <v>12</v>
      </c>
      <c r="M79">
        <f t="shared" si="1"/>
        <v>456</v>
      </c>
    </row>
    <row r="80" spans="1:13">
      <c r="A80" t="s">
        <v>90</v>
      </c>
      <c r="B80" t="s">
        <v>91</v>
      </c>
      <c r="C80" s="1">
        <v>40066</v>
      </c>
      <c r="D80" t="s">
        <v>95</v>
      </c>
      <c r="E80" t="s">
        <v>21</v>
      </c>
      <c r="F80" t="s">
        <v>27</v>
      </c>
      <c r="G80" t="s">
        <v>17</v>
      </c>
      <c r="H80" t="s">
        <v>92</v>
      </c>
      <c r="J80" t="s">
        <v>93</v>
      </c>
      <c r="K80" s="2">
        <v>21.05</v>
      </c>
      <c r="L80">
        <v>15</v>
      </c>
      <c r="M80">
        <f t="shared" si="1"/>
        <v>315.75</v>
      </c>
    </row>
    <row r="81" spans="1:13">
      <c r="A81" t="s">
        <v>90</v>
      </c>
      <c r="B81" t="s">
        <v>91</v>
      </c>
      <c r="C81" s="1">
        <v>39526</v>
      </c>
      <c r="D81" t="s">
        <v>86</v>
      </c>
      <c r="E81" t="s">
        <v>103</v>
      </c>
      <c r="F81" t="s">
        <v>54</v>
      </c>
      <c r="G81" t="s">
        <v>39</v>
      </c>
      <c r="H81" t="s">
        <v>92</v>
      </c>
      <c r="J81" t="s">
        <v>93</v>
      </c>
      <c r="K81" s="2">
        <v>34</v>
      </c>
      <c r="L81">
        <v>2</v>
      </c>
      <c r="M81">
        <f t="shared" si="1"/>
        <v>68</v>
      </c>
    </row>
    <row r="82" spans="1:13">
      <c r="A82" t="s">
        <v>104</v>
      </c>
      <c r="B82" t="s">
        <v>105</v>
      </c>
      <c r="C82" s="1">
        <v>39744</v>
      </c>
      <c r="D82" t="s">
        <v>26</v>
      </c>
      <c r="E82" t="s">
        <v>50</v>
      </c>
      <c r="F82" t="s">
        <v>27</v>
      </c>
      <c r="G82" t="s">
        <v>17</v>
      </c>
      <c r="H82" t="s">
        <v>106</v>
      </c>
      <c r="I82" t="s">
        <v>107</v>
      </c>
      <c r="J82" t="s">
        <v>108</v>
      </c>
      <c r="K82" s="2">
        <v>17.600000000000001</v>
      </c>
      <c r="L82">
        <v>18</v>
      </c>
      <c r="M82">
        <f t="shared" si="1"/>
        <v>316.8</v>
      </c>
    </row>
    <row r="83" spans="1:13">
      <c r="A83" t="s">
        <v>104</v>
      </c>
      <c r="B83" t="s">
        <v>105</v>
      </c>
      <c r="C83" s="1">
        <v>39847</v>
      </c>
      <c r="D83" t="s">
        <v>62</v>
      </c>
      <c r="E83" t="s">
        <v>15</v>
      </c>
      <c r="F83" t="s">
        <v>63</v>
      </c>
      <c r="G83" t="s">
        <v>17</v>
      </c>
      <c r="H83" t="s">
        <v>106</v>
      </c>
      <c r="I83" t="s">
        <v>107</v>
      </c>
      <c r="J83" t="s">
        <v>108</v>
      </c>
      <c r="K83" s="2">
        <v>30.4</v>
      </c>
      <c r="L83">
        <v>28</v>
      </c>
      <c r="M83">
        <f t="shared" si="1"/>
        <v>851.19999999999993</v>
      </c>
    </row>
    <row r="84" spans="1:13">
      <c r="A84" t="s">
        <v>104</v>
      </c>
      <c r="B84" t="s">
        <v>105</v>
      </c>
      <c r="C84" s="1">
        <v>39889</v>
      </c>
      <c r="D84" t="s">
        <v>109</v>
      </c>
      <c r="E84" t="s">
        <v>66</v>
      </c>
      <c r="F84" t="s">
        <v>56</v>
      </c>
      <c r="G84" t="s">
        <v>17</v>
      </c>
      <c r="H84" t="s">
        <v>106</v>
      </c>
      <c r="I84" t="s">
        <v>107</v>
      </c>
      <c r="J84" t="s">
        <v>108</v>
      </c>
      <c r="K84" s="2">
        <v>14.4</v>
      </c>
      <c r="L84">
        <v>20</v>
      </c>
      <c r="M84">
        <f t="shared" si="1"/>
        <v>288</v>
      </c>
    </row>
    <row r="85" spans="1:13">
      <c r="A85" t="s">
        <v>104</v>
      </c>
      <c r="B85" t="s">
        <v>105</v>
      </c>
      <c r="C85" s="1">
        <v>39546</v>
      </c>
      <c r="D85" t="s">
        <v>23</v>
      </c>
      <c r="E85" t="s">
        <v>67</v>
      </c>
      <c r="F85" t="s">
        <v>25</v>
      </c>
      <c r="G85" t="s">
        <v>39</v>
      </c>
      <c r="H85" t="s">
        <v>106</v>
      </c>
      <c r="I85" t="s">
        <v>107</v>
      </c>
      <c r="J85" t="s">
        <v>108</v>
      </c>
      <c r="K85" s="2">
        <v>40</v>
      </c>
      <c r="L85">
        <v>30</v>
      </c>
      <c r="M85">
        <f t="shared" si="1"/>
        <v>1200</v>
      </c>
    </row>
    <row r="86" spans="1:13">
      <c r="A86" t="s">
        <v>104</v>
      </c>
      <c r="B86" t="s">
        <v>105</v>
      </c>
      <c r="C86" s="1">
        <v>39546</v>
      </c>
      <c r="D86" t="s">
        <v>88</v>
      </c>
      <c r="E86" t="s">
        <v>67</v>
      </c>
      <c r="F86" t="s">
        <v>51</v>
      </c>
      <c r="G86" t="s">
        <v>39</v>
      </c>
      <c r="H86" t="s">
        <v>106</v>
      </c>
      <c r="I86" t="s">
        <v>107</v>
      </c>
      <c r="J86" t="s">
        <v>108</v>
      </c>
      <c r="K86" s="2">
        <v>123.79</v>
      </c>
      <c r="L86">
        <v>10</v>
      </c>
      <c r="M86">
        <f t="shared" si="1"/>
        <v>1237.9000000000001</v>
      </c>
    </row>
    <row r="87" spans="1:13">
      <c r="A87" t="s">
        <v>104</v>
      </c>
      <c r="B87" t="s">
        <v>105</v>
      </c>
      <c r="C87" s="1">
        <v>39546</v>
      </c>
      <c r="D87" t="s">
        <v>110</v>
      </c>
      <c r="E87" t="s">
        <v>67</v>
      </c>
      <c r="F87" t="s">
        <v>74</v>
      </c>
      <c r="G87" t="s">
        <v>39</v>
      </c>
      <c r="H87" t="s">
        <v>106</v>
      </c>
      <c r="I87" t="s">
        <v>107</v>
      </c>
      <c r="J87" t="s">
        <v>108</v>
      </c>
      <c r="K87" s="2">
        <v>14</v>
      </c>
      <c r="L87">
        <v>14</v>
      </c>
      <c r="M87">
        <f t="shared" si="1"/>
        <v>196</v>
      </c>
    </row>
    <row r="88" spans="1:13">
      <c r="A88" t="s">
        <v>104</v>
      </c>
      <c r="B88" t="s">
        <v>105</v>
      </c>
      <c r="C88" s="1">
        <v>39718</v>
      </c>
      <c r="D88" t="s">
        <v>85</v>
      </c>
      <c r="E88" t="s">
        <v>66</v>
      </c>
      <c r="F88" t="s">
        <v>33</v>
      </c>
      <c r="G88" t="s">
        <v>17</v>
      </c>
      <c r="H88" t="s">
        <v>106</v>
      </c>
      <c r="I88" t="s">
        <v>107</v>
      </c>
      <c r="J88" t="s">
        <v>108</v>
      </c>
      <c r="K88" s="2">
        <v>42.4</v>
      </c>
      <c r="L88">
        <v>18</v>
      </c>
      <c r="M88">
        <f t="shared" si="1"/>
        <v>763.19999999999993</v>
      </c>
    </row>
    <row r="89" spans="1:13">
      <c r="A89" t="s">
        <v>104</v>
      </c>
      <c r="B89" t="s">
        <v>105</v>
      </c>
      <c r="C89" s="1">
        <v>39889</v>
      </c>
      <c r="D89" t="s">
        <v>111</v>
      </c>
      <c r="E89" t="s">
        <v>66</v>
      </c>
      <c r="F89" t="s">
        <v>37</v>
      </c>
      <c r="G89" t="s">
        <v>17</v>
      </c>
      <c r="H89" t="s">
        <v>106</v>
      </c>
      <c r="I89" t="s">
        <v>107</v>
      </c>
      <c r="J89" t="s">
        <v>108</v>
      </c>
      <c r="K89" s="2">
        <v>14.4</v>
      </c>
      <c r="L89">
        <v>15</v>
      </c>
      <c r="M89">
        <f t="shared" si="1"/>
        <v>216</v>
      </c>
    </row>
    <row r="90" spans="1:13">
      <c r="A90" t="s">
        <v>104</v>
      </c>
      <c r="B90" t="s">
        <v>105</v>
      </c>
      <c r="C90" s="1">
        <v>39718</v>
      </c>
      <c r="D90" t="s">
        <v>34</v>
      </c>
      <c r="E90" t="s">
        <v>66</v>
      </c>
      <c r="F90" t="s">
        <v>35</v>
      </c>
      <c r="G90" t="s">
        <v>17</v>
      </c>
      <c r="H90" t="s">
        <v>106</v>
      </c>
      <c r="I90" t="s">
        <v>107</v>
      </c>
      <c r="J90" t="s">
        <v>108</v>
      </c>
      <c r="K90" s="2">
        <v>8</v>
      </c>
      <c r="L90">
        <v>10</v>
      </c>
      <c r="M90">
        <f t="shared" si="1"/>
        <v>80</v>
      </c>
    </row>
    <row r="91" spans="1:13">
      <c r="A91" t="s">
        <v>104</v>
      </c>
      <c r="B91" t="s">
        <v>105</v>
      </c>
      <c r="C91" s="1">
        <v>39889</v>
      </c>
      <c r="D91" t="s">
        <v>34</v>
      </c>
      <c r="E91" t="s">
        <v>66</v>
      </c>
      <c r="F91" t="s">
        <v>35</v>
      </c>
      <c r="G91" t="s">
        <v>17</v>
      </c>
      <c r="H91" t="s">
        <v>106</v>
      </c>
      <c r="I91" t="s">
        <v>107</v>
      </c>
      <c r="J91" t="s">
        <v>108</v>
      </c>
      <c r="K91" s="2">
        <v>8</v>
      </c>
      <c r="L91">
        <v>21</v>
      </c>
      <c r="M91">
        <f t="shared" si="1"/>
        <v>168</v>
      </c>
    </row>
    <row r="92" spans="1:13">
      <c r="A92" t="s">
        <v>112</v>
      </c>
      <c r="B92" t="s">
        <v>113</v>
      </c>
      <c r="C92" s="1">
        <v>39682</v>
      </c>
      <c r="D92" t="s">
        <v>70</v>
      </c>
      <c r="E92" t="s">
        <v>67</v>
      </c>
      <c r="F92" t="s">
        <v>61</v>
      </c>
      <c r="G92" t="s">
        <v>17</v>
      </c>
      <c r="H92" t="s">
        <v>114</v>
      </c>
      <c r="J92" t="s">
        <v>115</v>
      </c>
      <c r="K92" s="2">
        <v>9.6</v>
      </c>
      <c r="L92">
        <v>15</v>
      </c>
      <c r="M92">
        <f t="shared" si="1"/>
        <v>144</v>
      </c>
    </row>
    <row r="93" spans="1:13">
      <c r="A93" t="s">
        <v>112</v>
      </c>
      <c r="B93" t="s">
        <v>113</v>
      </c>
      <c r="C93" s="1">
        <v>39452</v>
      </c>
      <c r="D93" t="s">
        <v>70</v>
      </c>
      <c r="E93" t="s">
        <v>21</v>
      </c>
      <c r="F93" t="s">
        <v>61</v>
      </c>
      <c r="G93" t="s">
        <v>39</v>
      </c>
      <c r="H93" t="s">
        <v>114</v>
      </c>
      <c r="J93" t="s">
        <v>115</v>
      </c>
      <c r="K93" s="2">
        <v>12</v>
      </c>
      <c r="L93">
        <v>35</v>
      </c>
      <c r="M93">
        <f t="shared" si="1"/>
        <v>420</v>
      </c>
    </row>
    <row r="94" spans="1:13">
      <c r="A94" t="s">
        <v>112</v>
      </c>
      <c r="B94" t="s">
        <v>113</v>
      </c>
      <c r="C94" s="1">
        <v>39567</v>
      </c>
      <c r="D94" t="s">
        <v>48</v>
      </c>
      <c r="E94" t="s">
        <v>53</v>
      </c>
      <c r="F94" t="s">
        <v>22</v>
      </c>
      <c r="G94" t="s">
        <v>39</v>
      </c>
      <c r="H94" t="s">
        <v>114</v>
      </c>
      <c r="J94" t="s">
        <v>115</v>
      </c>
      <c r="K94" s="2">
        <v>39</v>
      </c>
      <c r="L94">
        <v>12</v>
      </c>
      <c r="M94">
        <f t="shared" si="1"/>
        <v>468</v>
      </c>
    </row>
    <row r="95" spans="1:13">
      <c r="A95" t="s">
        <v>112</v>
      </c>
      <c r="B95" t="s">
        <v>113</v>
      </c>
      <c r="C95" s="1">
        <v>39697</v>
      </c>
      <c r="D95" t="s">
        <v>64</v>
      </c>
      <c r="E95" t="s">
        <v>24</v>
      </c>
      <c r="F95" t="s">
        <v>35</v>
      </c>
      <c r="G95" t="s">
        <v>17</v>
      </c>
      <c r="H95" t="s">
        <v>114</v>
      </c>
      <c r="J95" t="s">
        <v>115</v>
      </c>
      <c r="K95" s="2">
        <v>7.3</v>
      </c>
      <c r="L95">
        <v>15</v>
      </c>
      <c r="M95">
        <f t="shared" si="1"/>
        <v>109.5</v>
      </c>
    </row>
    <row r="96" spans="1:13">
      <c r="A96" t="s">
        <v>112</v>
      </c>
      <c r="B96" t="s">
        <v>113</v>
      </c>
      <c r="C96" s="1">
        <v>39697</v>
      </c>
      <c r="D96" t="s">
        <v>116</v>
      </c>
      <c r="E96" t="s">
        <v>24</v>
      </c>
      <c r="F96" t="s">
        <v>22</v>
      </c>
      <c r="G96" t="s">
        <v>17</v>
      </c>
      <c r="H96" t="s">
        <v>114</v>
      </c>
      <c r="J96" t="s">
        <v>115</v>
      </c>
      <c r="K96" s="2">
        <v>12</v>
      </c>
      <c r="L96">
        <v>20</v>
      </c>
      <c r="M96">
        <f t="shared" si="1"/>
        <v>240</v>
      </c>
    </row>
    <row r="97" spans="1:13">
      <c r="A97" t="s">
        <v>112</v>
      </c>
      <c r="B97" t="s">
        <v>113</v>
      </c>
      <c r="C97" s="1">
        <v>40031</v>
      </c>
      <c r="D97" t="s">
        <v>82</v>
      </c>
      <c r="E97" t="s">
        <v>24</v>
      </c>
      <c r="F97" t="s">
        <v>35</v>
      </c>
      <c r="G97" t="s">
        <v>17</v>
      </c>
      <c r="H97" t="s">
        <v>114</v>
      </c>
      <c r="J97" t="s">
        <v>115</v>
      </c>
      <c r="K97" s="2">
        <v>12.5</v>
      </c>
      <c r="L97">
        <v>18</v>
      </c>
      <c r="M97">
        <f t="shared" si="1"/>
        <v>225</v>
      </c>
    </row>
    <row r="98" spans="1:13">
      <c r="A98" t="s">
        <v>112</v>
      </c>
      <c r="B98" t="s">
        <v>113</v>
      </c>
      <c r="C98" s="1">
        <v>39682</v>
      </c>
      <c r="D98" t="s">
        <v>59</v>
      </c>
      <c r="E98" t="s">
        <v>67</v>
      </c>
      <c r="F98" t="s">
        <v>45</v>
      </c>
      <c r="G98" t="s">
        <v>17</v>
      </c>
      <c r="H98" t="s">
        <v>114</v>
      </c>
      <c r="J98" t="s">
        <v>115</v>
      </c>
      <c r="K98" s="2">
        <v>11.2</v>
      </c>
      <c r="L98">
        <v>20</v>
      </c>
      <c r="M98">
        <f t="shared" si="1"/>
        <v>224</v>
      </c>
    </row>
    <row r="99" spans="1:13">
      <c r="A99" t="s">
        <v>112</v>
      </c>
      <c r="B99" t="s">
        <v>113</v>
      </c>
      <c r="C99" s="1">
        <v>40053</v>
      </c>
      <c r="D99" t="s">
        <v>117</v>
      </c>
      <c r="E99" t="s">
        <v>66</v>
      </c>
      <c r="F99" t="s">
        <v>118</v>
      </c>
      <c r="G99" t="s">
        <v>17</v>
      </c>
      <c r="H99" t="s">
        <v>114</v>
      </c>
      <c r="J99" t="s">
        <v>115</v>
      </c>
      <c r="K99" s="2">
        <v>21</v>
      </c>
      <c r="L99">
        <v>15</v>
      </c>
      <c r="M99">
        <f t="shared" si="1"/>
        <v>315</v>
      </c>
    </row>
    <row r="100" spans="1:13">
      <c r="A100" t="s">
        <v>112</v>
      </c>
      <c r="B100" t="s">
        <v>113</v>
      </c>
      <c r="C100" s="1">
        <v>40053</v>
      </c>
      <c r="D100" t="s">
        <v>98</v>
      </c>
      <c r="E100" t="s">
        <v>66</v>
      </c>
      <c r="F100" t="s">
        <v>99</v>
      </c>
      <c r="G100" t="s">
        <v>17</v>
      </c>
      <c r="H100" t="s">
        <v>114</v>
      </c>
      <c r="J100" t="s">
        <v>115</v>
      </c>
      <c r="K100" s="2">
        <v>4.5</v>
      </c>
      <c r="L100">
        <v>15</v>
      </c>
      <c r="M100">
        <f t="shared" si="1"/>
        <v>67.5</v>
      </c>
    </row>
    <row r="101" spans="1:13">
      <c r="A101" t="s">
        <v>112</v>
      </c>
      <c r="B101" t="s">
        <v>113</v>
      </c>
      <c r="C101" s="1">
        <v>39452</v>
      </c>
      <c r="D101" t="s">
        <v>36</v>
      </c>
      <c r="E101" t="s">
        <v>21</v>
      </c>
      <c r="F101" t="s">
        <v>37</v>
      </c>
      <c r="G101" t="s">
        <v>39</v>
      </c>
      <c r="H101" t="s">
        <v>114</v>
      </c>
      <c r="J101" t="s">
        <v>115</v>
      </c>
      <c r="K101" s="2">
        <v>19</v>
      </c>
      <c r="L101">
        <v>12</v>
      </c>
      <c r="M101">
        <f t="shared" si="1"/>
        <v>228</v>
      </c>
    </row>
    <row r="102" spans="1:13">
      <c r="A102" t="s">
        <v>112</v>
      </c>
      <c r="B102" t="s">
        <v>113</v>
      </c>
      <c r="C102" s="1">
        <v>39892</v>
      </c>
      <c r="D102" t="s">
        <v>119</v>
      </c>
      <c r="E102" t="s">
        <v>67</v>
      </c>
      <c r="F102" t="s">
        <v>97</v>
      </c>
      <c r="G102" t="s">
        <v>17</v>
      </c>
      <c r="H102" t="s">
        <v>114</v>
      </c>
      <c r="J102" t="s">
        <v>115</v>
      </c>
      <c r="K102" s="2">
        <v>16</v>
      </c>
      <c r="L102">
        <v>24</v>
      </c>
      <c r="M102">
        <f t="shared" si="1"/>
        <v>384</v>
      </c>
    </row>
    <row r="103" spans="1:13">
      <c r="A103" t="s">
        <v>112</v>
      </c>
      <c r="B103" t="s">
        <v>113</v>
      </c>
      <c r="C103" s="1">
        <v>40031</v>
      </c>
      <c r="D103" t="s">
        <v>36</v>
      </c>
      <c r="E103" t="s">
        <v>24</v>
      </c>
      <c r="F103" t="s">
        <v>37</v>
      </c>
      <c r="G103" t="s">
        <v>17</v>
      </c>
      <c r="H103" t="s">
        <v>114</v>
      </c>
      <c r="J103" t="s">
        <v>115</v>
      </c>
      <c r="K103" s="2">
        <v>19</v>
      </c>
      <c r="L103">
        <v>20</v>
      </c>
      <c r="M103">
        <f t="shared" si="1"/>
        <v>380</v>
      </c>
    </row>
    <row r="104" spans="1:13">
      <c r="A104" t="s">
        <v>112</v>
      </c>
      <c r="B104" t="s">
        <v>113</v>
      </c>
      <c r="C104" s="1">
        <v>39682</v>
      </c>
      <c r="D104" t="s">
        <v>20</v>
      </c>
      <c r="E104" t="s">
        <v>67</v>
      </c>
      <c r="F104" t="s">
        <v>22</v>
      </c>
      <c r="G104" t="s">
        <v>17</v>
      </c>
      <c r="H104" t="s">
        <v>114</v>
      </c>
      <c r="J104" t="s">
        <v>115</v>
      </c>
      <c r="K104" s="2">
        <v>13.9</v>
      </c>
      <c r="L104">
        <v>40</v>
      </c>
      <c r="M104">
        <f t="shared" si="1"/>
        <v>556</v>
      </c>
    </row>
    <row r="105" spans="1:13">
      <c r="A105" t="s">
        <v>112</v>
      </c>
      <c r="B105" t="s">
        <v>113</v>
      </c>
      <c r="C105" s="1">
        <v>39473</v>
      </c>
      <c r="D105" t="s">
        <v>52</v>
      </c>
      <c r="E105" t="s">
        <v>66</v>
      </c>
      <c r="F105" t="s">
        <v>54</v>
      </c>
      <c r="G105" t="s">
        <v>39</v>
      </c>
      <c r="H105" t="s">
        <v>114</v>
      </c>
      <c r="J105" t="s">
        <v>115</v>
      </c>
      <c r="K105" s="2">
        <v>55</v>
      </c>
      <c r="L105">
        <v>42</v>
      </c>
      <c r="M105">
        <f t="shared" si="1"/>
        <v>2310</v>
      </c>
    </row>
    <row r="106" spans="1:13">
      <c r="A106" t="s">
        <v>112</v>
      </c>
      <c r="B106" t="s">
        <v>113</v>
      </c>
      <c r="C106" s="1">
        <v>39567</v>
      </c>
      <c r="D106" t="s">
        <v>86</v>
      </c>
      <c r="E106" t="s">
        <v>53</v>
      </c>
      <c r="F106" t="s">
        <v>54</v>
      </c>
      <c r="G106" t="s">
        <v>39</v>
      </c>
      <c r="H106" t="s">
        <v>114</v>
      </c>
      <c r="J106" t="s">
        <v>115</v>
      </c>
      <c r="K106" s="2">
        <v>34</v>
      </c>
      <c r="L106">
        <v>35</v>
      </c>
      <c r="M106">
        <f t="shared" si="1"/>
        <v>1190</v>
      </c>
    </row>
    <row r="107" spans="1:13">
      <c r="A107" t="s">
        <v>112</v>
      </c>
      <c r="B107" t="s">
        <v>113</v>
      </c>
      <c r="C107" s="1">
        <v>39858</v>
      </c>
      <c r="D107" t="s">
        <v>95</v>
      </c>
      <c r="E107" t="s">
        <v>24</v>
      </c>
      <c r="F107" t="s">
        <v>27</v>
      </c>
      <c r="G107" t="s">
        <v>17</v>
      </c>
      <c r="H107" t="s">
        <v>114</v>
      </c>
      <c r="J107" t="s">
        <v>115</v>
      </c>
      <c r="K107" s="2">
        <v>16.8</v>
      </c>
      <c r="L107">
        <v>35</v>
      </c>
      <c r="M107">
        <f t="shared" si="1"/>
        <v>588</v>
      </c>
    </row>
    <row r="108" spans="1:13">
      <c r="A108" t="s">
        <v>112</v>
      </c>
      <c r="B108" t="s">
        <v>113</v>
      </c>
      <c r="C108" s="1">
        <v>39473</v>
      </c>
      <c r="D108" t="s">
        <v>36</v>
      </c>
      <c r="E108" t="s">
        <v>66</v>
      </c>
      <c r="F108" t="s">
        <v>37</v>
      </c>
      <c r="G108" t="s">
        <v>39</v>
      </c>
      <c r="H108" t="s">
        <v>114</v>
      </c>
      <c r="J108" t="s">
        <v>115</v>
      </c>
      <c r="K108" s="2">
        <v>19</v>
      </c>
      <c r="L108">
        <v>5</v>
      </c>
      <c r="M108">
        <f t="shared" si="1"/>
        <v>95</v>
      </c>
    </row>
    <row r="109" spans="1:13">
      <c r="A109" t="s">
        <v>112</v>
      </c>
      <c r="B109" t="s">
        <v>113</v>
      </c>
      <c r="C109" s="1">
        <v>39974</v>
      </c>
      <c r="D109" t="s">
        <v>120</v>
      </c>
      <c r="E109" t="s">
        <v>53</v>
      </c>
      <c r="F109" t="s">
        <v>33</v>
      </c>
      <c r="G109" t="s">
        <v>17</v>
      </c>
      <c r="H109" t="s">
        <v>114</v>
      </c>
      <c r="J109" t="s">
        <v>115</v>
      </c>
      <c r="K109" s="2">
        <v>7</v>
      </c>
      <c r="L109">
        <v>70</v>
      </c>
      <c r="M109">
        <f t="shared" si="1"/>
        <v>490</v>
      </c>
    </row>
    <row r="110" spans="1:13">
      <c r="A110" t="s">
        <v>112</v>
      </c>
      <c r="B110" t="s">
        <v>113</v>
      </c>
      <c r="C110" s="1">
        <v>39858</v>
      </c>
      <c r="D110" t="s">
        <v>121</v>
      </c>
      <c r="E110" t="s">
        <v>24</v>
      </c>
      <c r="F110" t="s">
        <v>41</v>
      </c>
      <c r="G110" t="s">
        <v>17</v>
      </c>
      <c r="H110" t="s">
        <v>114</v>
      </c>
      <c r="J110" t="s">
        <v>115</v>
      </c>
      <c r="K110" s="2">
        <v>17.2</v>
      </c>
      <c r="L110">
        <v>2</v>
      </c>
      <c r="M110">
        <f t="shared" si="1"/>
        <v>34.4</v>
      </c>
    </row>
    <row r="111" spans="1:13">
      <c r="A111" t="s">
        <v>112</v>
      </c>
      <c r="B111" t="s">
        <v>113</v>
      </c>
      <c r="C111" s="1">
        <v>39487</v>
      </c>
      <c r="D111" t="s">
        <v>42</v>
      </c>
      <c r="E111" t="s">
        <v>21</v>
      </c>
      <c r="F111" t="s">
        <v>22</v>
      </c>
      <c r="G111" t="s">
        <v>39</v>
      </c>
      <c r="H111" t="s">
        <v>114</v>
      </c>
      <c r="J111" t="s">
        <v>115</v>
      </c>
      <c r="K111" s="2">
        <v>62.5</v>
      </c>
      <c r="L111">
        <v>25</v>
      </c>
      <c r="M111">
        <f t="shared" si="1"/>
        <v>1562.5</v>
      </c>
    </row>
    <row r="112" spans="1:13">
      <c r="A112" t="s">
        <v>112</v>
      </c>
      <c r="B112" t="s">
        <v>113</v>
      </c>
      <c r="C112" s="1">
        <v>39487</v>
      </c>
      <c r="D112" t="s">
        <v>20</v>
      </c>
      <c r="E112" t="s">
        <v>21</v>
      </c>
      <c r="F112" t="s">
        <v>22</v>
      </c>
      <c r="G112" t="s">
        <v>39</v>
      </c>
      <c r="H112" t="s">
        <v>114</v>
      </c>
      <c r="J112" t="s">
        <v>115</v>
      </c>
      <c r="K112" s="2">
        <v>17.45</v>
      </c>
      <c r="L112">
        <v>30</v>
      </c>
      <c r="M112">
        <f t="shared" si="1"/>
        <v>523.5</v>
      </c>
    </row>
    <row r="113" spans="1:13">
      <c r="A113" t="s">
        <v>112</v>
      </c>
      <c r="B113" t="s">
        <v>113</v>
      </c>
      <c r="C113" s="1">
        <v>39974</v>
      </c>
      <c r="D113" t="s">
        <v>57</v>
      </c>
      <c r="E113" t="s">
        <v>53</v>
      </c>
      <c r="F113" t="s">
        <v>58</v>
      </c>
      <c r="G113" t="s">
        <v>17</v>
      </c>
      <c r="H113" t="s">
        <v>114</v>
      </c>
      <c r="J113" t="s">
        <v>115</v>
      </c>
      <c r="K113" s="2">
        <v>19</v>
      </c>
      <c r="L113">
        <v>25</v>
      </c>
      <c r="M113">
        <f t="shared" si="1"/>
        <v>475</v>
      </c>
    </row>
    <row r="114" spans="1:13">
      <c r="A114" t="s">
        <v>112</v>
      </c>
      <c r="B114" t="s">
        <v>113</v>
      </c>
      <c r="C114" s="1">
        <v>39892</v>
      </c>
      <c r="D114" t="s">
        <v>86</v>
      </c>
      <c r="E114" t="s">
        <v>67</v>
      </c>
      <c r="F114" t="s">
        <v>54</v>
      </c>
      <c r="G114" t="s">
        <v>17</v>
      </c>
      <c r="H114" t="s">
        <v>114</v>
      </c>
      <c r="J114" t="s">
        <v>115</v>
      </c>
      <c r="K114" s="2">
        <v>27.2</v>
      </c>
      <c r="L114">
        <v>40</v>
      </c>
      <c r="M114">
        <f t="shared" si="1"/>
        <v>1088</v>
      </c>
    </row>
    <row r="115" spans="1:13">
      <c r="A115" t="s">
        <v>112</v>
      </c>
      <c r="B115" t="s">
        <v>113</v>
      </c>
      <c r="C115" s="1">
        <v>39473</v>
      </c>
      <c r="D115" t="s">
        <v>122</v>
      </c>
      <c r="E115" t="s">
        <v>66</v>
      </c>
      <c r="F115" t="s">
        <v>31</v>
      </c>
      <c r="G115" t="s">
        <v>39</v>
      </c>
      <c r="H115" t="s">
        <v>114</v>
      </c>
      <c r="J115" t="s">
        <v>115</v>
      </c>
      <c r="K115" s="2">
        <v>14</v>
      </c>
      <c r="L115">
        <v>10</v>
      </c>
      <c r="M115">
        <f t="shared" si="1"/>
        <v>140</v>
      </c>
    </row>
    <row r="116" spans="1:13">
      <c r="A116" t="s">
        <v>112</v>
      </c>
      <c r="B116" t="s">
        <v>113</v>
      </c>
      <c r="C116" s="1">
        <v>39858</v>
      </c>
      <c r="D116" t="s">
        <v>64</v>
      </c>
      <c r="E116" t="s">
        <v>24</v>
      </c>
      <c r="F116" t="s">
        <v>35</v>
      </c>
      <c r="G116" t="s">
        <v>17</v>
      </c>
      <c r="H116" t="s">
        <v>114</v>
      </c>
      <c r="J116" t="s">
        <v>115</v>
      </c>
      <c r="K116" s="2">
        <v>7.3</v>
      </c>
      <c r="L116">
        <v>40</v>
      </c>
      <c r="M116">
        <f t="shared" si="1"/>
        <v>292</v>
      </c>
    </row>
    <row r="117" spans="1:13">
      <c r="A117" t="s">
        <v>112</v>
      </c>
      <c r="B117" t="s">
        <v>113</v>
      </c>
      <c r="C117" s="1">
        <v>39473</v>
      </c>
      <c r="D117" t="s">
        <v>123</v>
      </c>
      <c r="E117" t="s">
        <v>66</v>
      </c>
      <c r="F117" t="s">
        <v>63</v>
      </c>
      <c r="G117" t="s">
        <v>39</v>
      </c>
      <c r="H117" t="s">
        <v>114</v>
      </c>
      <c r="J117" t="s">
        <v>115</v>
      </c>
      <c r="K117" s="2">
        <v>19.5</v>
      </c>
      <c r="L117">
        <v>10</v>
      </c>
      <c r="M117">
        <f t="shared" si="1"/>
        <v>195</v>
      </c>
    </row>
    <row r="118" spans="1:13">
      <c r="A118" t="s">
        <v>112</v>
      </c>
      <c r="B118" t="s">
        <v>113</v>
      </c>
      <c r="C118" s="1">
        <v>39567</v>
      </c>
      <c r="D118" t="s">
        <v>124</v>
      </c>
      <c r="E118" t="s">
        <v>53</v>
      </c>
      <c r="F118" t="s">
        <v>125</v>
      </c>
      <c r="G118" t="s">
        <v>39</v>
      </c>
      <c r="H118" t="s">
        <v>114</v>
      </c>
      <c r="J118" t="s">
        <v>115</v>
      </c>
      <c r="K118" s="2">
        <v>6</v>
      </c>
      <c r="L118">
        <v>30</v>
      </c>
      <c r="M118">
        <f t="shared" si="1"/>
        <v>180</v>
      </c>
    </row>
    <row r="119" spans="1:13">
      <c r="A119" t="s">
        <v>126</v>
      </c>
      <c r="B119" t="s">
        <v>127</v>
      </c>
      <c r="C119" s="1">
        <v>39700</v>
      </c>
      <c r="D119" t="s">
        <v>109</v>
      </c>
      <c r="E119" t="s">
        <v>21</v>
      </c>
      <c r="F119" t="s">
        <v>56</v>
      </c>
      <c r="G119" t="s">
        <v>17</v>
      </c>
      <c r="H119" t="s">
        <v>128</v>
      </c>
      <c r="J119" t="s">
        <v>129</v>
      </c>
      <c r="K119" s="2">
        <v>14.4</v>
      </c>
      <c r="L119">
        <v>20</v>
      </c>
      <c r="M119">
        <f t="shared" si="1"/>
        <v>288</v>
      </c>
    </row>
    <row r="120" spans="1:13">
      <c r="A120" t="s">
        <v>126</v>
      </c>
      <c r="B120" t="s">
        <v>127</v>
      </c>
      <c r="C120" s="1">
        <v>39482</v>
      </c>
      <c r="D120" t="s">
        <v>111</v>
      </c>
      <c r="E120" t="s">
        <v>66</v>
      </c>
      <c r="F120" t="s">
        <v>37</v>
      </c>
      <c r="G120" t="s">
        <v>39</v>
      </c>
      <c r="H120" t="s">
        <v>128</v>
      </c>
      <c r="J120" t="s">
        <v>129</v>
      </c>
      <c r="K120" s="2">
        <v>18</v>
      </c>
      <c r="L120">
        <v>40</v>
      </c>
      <c r="M120">
        <f t="shared" si="1"/>
        <v>720</v>
      </c>
    </row>
    <row r="121" spans="1:13">
      <c r="A121" t="s">
        <v>126</v>
      </c>
      <c r="B121" t="s">
        <v>127</v>
      </c>
      <c r="C121" s="1">
        <v>39482</v>
      </c>
      <c r="D121" t="s">
        <v>82</v>
      </c>
      <c r="E121" t="s">
        <v>66</v>
      </c>
      <c r="F121" t="s">
        <v>35</v>
      </c>
      <c r="G121" t="s">
        <v>39</v>
      </c>
      <c r="H121" t="s">
        <v>128</v>
      </c>
      <c r="J121" t="s">
        <v>129</v>
      </c>
      <c r="K121" s="2">
        <v>12.5</v>
      </c>
      <c r="L121">
        <v>20</v>
      </c>
      <c r="M121">
        <f t="shared" si="1"/>
        <v>250</v>
      </c>
    </row>
    <row r="122" spans="1:13">
      <c r="A122" t="s">
        <v>126</v>
      </c>
      <c r="B122" t="s">
        <v>127</v>
      </c>
      <c r="C122" s="1">
        <v>39482</v>
      </c>
      <c r="D122" t="s">
        <v>130</v>
      </c>
      <c r="E122" t="s">
        <v>66</v>
      </c>
      <c r="F122" t="s">
        <v>118</v>
      </c>
      <c r="G122" t="s">
        <v>39</v>
      </c>
      <c r="H122" t="s">
        <v>128</v>
      </c>
      <c r="J122" t="s">
        <v>129</v>
      </c>
      <c r="K122" s="2">
        <v>9</v>
      </c>
      <c r="L122">
        <v>50</v>
      </c>
      <c r="M122">
        <f t="shared" si="1"/>
        <v>450</v>
      </c>
    </row>
    <row r="123" spans="1:13">
      <c r="A123" t="s">
        <v>126</v>
      </c>
      <c r="B123" t="s">
        <v>127</v>
      </c>
      <c r="C123" s="1">
        <v>39482</v>
      </c>
      <c r="D123" t="s">
        <v>131</v>
      </c>
      <c r="E123" t="s">
        <v>66</v>
      </c>
      <c r="F123" t="s">
        <v>132</v>
      </c>
      <c r="G123" t="s">
        <v>39</v>
      </c>
      <c r="H123" t="s">
        <v>128</v>
      </c>
      <c r="J123" t="s">
        <v>129</v>
      </c>
      <c r="K123" s="2">
        <v>21</v>
      </c>
      <c r="L123">
        <v>10</v>
      </c>
      <c r="M123">
        <f t="shared" si="1"/>
        <v>210</v>
      </c>
    </row>
    <row r="124" spans="1:13">
      <c r="A124" t="s">
        <v>126</v>
      </c>
      <c r="B124" t="s">
        <v>127</v>
      </c>
      <c r="C124" s="1">
        <v>39700</v>
      </c>
      <c r="D124" t="s">
        <v>77</v>
      </c>
      <c r="E124" t="s">
        <v>21</v>
      </c>
      <c r="F124" t="s">
        <v>51</v>
      </c>
      <c r="G124" t="s">
        <v>17</v>
      </c>
      <c r="H124" t="s">
        <v>128</v>
      </c>
      <c r="J124" t="s">
        <v>129</v>
      </c>
      <c r="K124" s="2">
        <v>36.4</v>
      </c>
      <c r="L124">
        <v>20</v>
      </c>
      <c r="M124">
        <f t="shared" si="1"/>
        <v>728</v>
      </c>
    </row>
    <row r="125" spans="1:13">
      <c r="A125" t="s">
        <v>126</v>
      </c>
      <c r="B125" t="s">
        <v>127</v>
      </c>
      <c r="C125" s="1">
        <v>39881</v>
      </c>
      <c r="D125" t="s">
        <v>98</v>
      </c>
      <c r="E125" t="s">
        <v>67</v>
      </c>
      <c r="F125" t="s">
        <v>99</v>
      </c>
      <c r="G125" t="s">
        <v>17</v>
      </c>
      <c r="H125" t="s">
        <v>128</v>
      </c>
      <c r="J125" t="s">
        <v>129</v>
      </c>
      <c r="K125" s="2">
        <v>3.6</v>
      </c>
      <c r="L125">
        <v>80</v>
      </c>
      <c r="M125">
        <f t="shared" si="1"/>
        <v>288</v>
      </c>
    </row>
    <row r="126" spans="1:13">
      <c r="A126" t="s">
        <v>126</v>
      </c>
      <c r="B126" t="s">
        <v>127</v>
      </c>
      <c r="C126" s="1">
        <v>39934</v>
      </c>
      <c r="D126" t="s">
        <v>133</v>
      </c>
      <c r="E126" t="s">
        <v>50</v>
      </c>
      <c r="F126" t="s">
        <v>134</v>
      </c>
      <c r="G126" t="s">
        <v>17</v>
      </c>
      <c r="H126" t="s">
        <v>128</v>
      </c>
      <c r="J126" t="s">
        <v>129</v>
      </c>
      <c r="K126" s="2">
        <v>9.65</v>
      </c>
      <c r="L126">
        <v>6</v>
      </c>
      <c r="M126">
        <f t="shared" si="1"/>
        <v>57.900000000000006</v>
      </c>
    </row>
    <row r="127" spans="1:13">
      <c r="A127" t="s">
        <v>126</v>
      </c>
      <c r="B127" t="s">
        <v>127</v>
      </c>
      <c r="C127" s="1">
        <v>39934</v>
      </c>
      <c r="D127" t="s">
        <v>135</v>
      </c>
      <c r="E127" t="s">
        <v>50</v>
      </c>
      <c r="F127" t="s">
        <v>58</v>
      </c>
      <c r="G127" t="s">
        <v>17</v>
      </c>
      <c r="H127" t="s">
        <v>128</v>
      </c>
      <c r="J127" t="s">
        <v>129</v>
      </c>
      <c r="K127" s="2">
        <v>26</v>
      </c>
      <c r="L127">
        <v>18</v>
      </c>
      <c r="M127">
        <f t="shared" si="1"/>
        <v>468</v>
      </c>
    </row>
    <row r="128" spans="1:13">
      <c r="A128" t="s">
        <v>126</v>
      </c>
      <c r="B128" t="s">
        <v>127</v>
      </c>
      <c r="C128" s="1">
        <v>39934</v>
      </c>
      <c r="D128" t="s">
        <v>136</v>
      </c>
      <c r="E128" t="s">
        <v>50</v>
      </c>
      <c r="F128" t="s">
        <v>35</v>
      </c>
      <c r="G128" t="s">
        <v>17</v>
      </c>
      <c r="H128" t="s">
        <v>128</v>
      </c>
      <c r="J128" t="s">
        <v>129</v>
      </c>
      <c r="K128" s="2">
        <v>81</v>
      </c>
      <c r="L128">
        <v>15</v>
      </c>
      <c r="M128">
        <f t="shared" si="1"/>
        <v>1215</v>
      </c>
    </row>
    <row r="129" spans="1:13">
      <c r="A129" t="s">
        <v>126</v>
      </c>
      <c r="B129" t="s">
        <v>127</v>
      </c>
      <c r="C129" s="1">
        <v>39934</v>
      </c>
      <c r="D129" t="s">
        <v>48</v>
      </c>
      <c r="E129" t="s">
        <v>50</v>
      </c>
      <c r="F129" t="s">
        <v>22</v>
      </c>
      <c r="G129" t="s">
        <v>17</v>
      </c>
      <c r="H129" t="s">
        <v>128</v>
      </c>
      <c r="J129" t="s">
        <v>129</v>
      </c>
      <c r="K129" s="2">
        <v>39</v>
      </c>
      <c r="L129">
        <v>25</v>
      </c>
      <c r="M129">
        <f t="shared" si="1"/>
        <v>975</v>
      </c>
    </row>
    <row r="130" spans="1:13">
      <c r="A130" t="s">
        <v>126</v>
      </c>
      <c r="B130" t="s">
        <v>127</v>
      </c>
      <c r="C130" s="1">
        <v>39742</v>
      </c>
      <c r="D130" t="s">
        <v>86</v>
      </c>
      <c r="E130" t="s">
        <v>66</v>
      </c>
      <c r="F130" t="s">
        <v>54</v>
      </c>
      <c r="G130" t="s">
        <v>17</v>
      </c>
      <c r="H130" t="s">
        <v>128</v>
      </c>
      <c r="J130" t="s">
        <v>129</v>
      </c>
      <c r="K130" s="2">
        <v>27.2</v>
      </c>
      <c r="L130">
        <v>80</v>
      </c>
      <c r="M130">
        <f t="shared" si="1"/>
        <v>2176</v>
      </c>
    </row>
    <row r="131" spans="1:13">
      <c r="A131" t="s">
        <v>126</v>
      </c>
      <c r="B131" t="s">
        <v>127</v>
      </c>
      <c r="C131" s="1">
        <v>39742</v>
      </c>
      <c r="D131" t="s">
        <v>137</v>
      </c>
      <c r="E131" t="s">
        <v>66</v>
      </c>
      <c r="F131" t="s">
        <v>76</v>
      </c>
      <c r="G131" t="s">
        <v>17</v>
      </c>
      <c r="H131" t="s">
        <v>128</v>
      </c>
      <c r="J131" t="s">
        <v>129</v>
      </c>
      <c r="K131" s="2">
        <v>10</v>
      </c>
      <c r="L131">
        <v>70</v>
      </c>
      <c r="M131">
        <f t="shared" ref="M131:M194" si="2">K131*L131</f>
        <v>700</v>
      </c>
    </row>
    <row r="132" spans="1:13">
      <c r="A132" t="s">
        <v>126</v>
      </c>
      <c r="B132" t="s">
        <v>127</v>
      </c>
      <c r="C132" s="1">
        <v>39956</v>
      </c>
      <c r="D132" t="s">
        <v>57</v>
      </c>
      <c r="E132" t="s">
        <v>15</v>
      </c>
      <c r="F132" t="s">
        <v>58</v>
      </c>
      <c r="G132" t="s">
        <v>17</v>
      </c>
      <c r="H132" t="s">
        <v>128</v>
      </c>
      <c r="J132" t="s">
        <v>129</v>
      </c>
      <c r="K132" s="2">
        <v>19</v>
      </c>
      <c r="L132">
        <v>60</v>
      </c>
      <c r="M132">
        <f t="shared" si="2"/>
        <v>1140</v>
      </c>
    </row>
    <row r="133" spans="1:13">
      <c r="A133" t="s">
        <v>126</v>
      </c>
      <c r="B133" t="s">
        <v>127</v>
      </c>
      <c r="C133" s="1">
        <v>39710</v>
      </c>
      <c r="D133" t="s">
        <v>32</v>
      </c>
      <c r="E133" t="s">
        <v>53</v>
      </c>
      <c r="F133" t="s">
        <v>33</v>
      </c>
      <c r="G133" t="s">
        <v>17</v>
      </c>
      <c r="H133" t="s">
        <v>128</v>
      </c>
      <c r="J133" t="s">
        <v>129</v>
      </c>
      <c r="K133" s="2">
        <v>26.2</v>
      </c>
      <c r="L133">
        <v>40</v>
      </c>
      <c r="M133">
        <f t="shared" si="2"/>
        <v>1048</v>
      </c>
    </row>
    <row r="134" spans="1:13">
      <c r="A134" t="s">
        <v>126</v>
      </c>
      <c r="B134" t="s">
        <v>127</v>
      </c>
      <c r="C134" s="1">
        <v>39710</v>
      </c>
      <c r="D134" t="s">
        <v>120</v>
      </c>
      <c r="E134" t="s">
        <v>53</v>
      </c>
      <c r="F134" t="s">
        <v>33</v>
      </c>
      <c r="G134" t="s">
        <v>17</v>
      </c>
      <c r="H134" t="s">
        <v>128</v>
      </c>
      <c r="J134" t="s">
        <v>129</v>
      </c>
      <c r="K134" s="2">
        <v>5.6</v>
      </c>
      <c r="L134">
        <v>20</v>
      </c>
      <c r="M134">
        <f t="shared" si="2"/>
        <v>112</v>
      </c>
    </row>
    <row r="135" spans="1:13">
      <c r="A135" t="s">
        <v>126</v>
      </c>
      <c r="B135" t="s">
        <v>127</v>
      </c>
      <c r="C135" s="1">
        <v>39881</v>
      </c>
      <c r="D135" t="s">
        <v>85</v>
      </c>
      <c r="E135" t="s">
        <v>67</v>
      </c>
      <c r="F135" t="s">
        <v>33</v>
      </c>
      <c r="G135" t="s">
        <v>17</v>
      </c>
      <c r="H135" t="s">
        <v>128</v>
      </c>
      <c r="J135" t="s">
        <v>129</v>
      </c>
      <c r="K135" s="2">
        <v>42.4</v>
      </c>
      <c r="L135">
        <v>18</v>
      </c>
      <c r="M135">
        <f t="shared" si="2"/>
        <v>763.19999999999993</v>
      </c>
    </row>
    <row r="136" spans="1:13">
      <c r="A136" t="s">
        <v>126</v>
      </c>
      <c r="B136" t="s">
        <v>127</v>
      </c>
      <c r="C136" s="1">
        <v>39956</v>
      </c>
      <c r="D136" t="s">
        <v>138</v>
      </c>
      <c r="E136" t="s">
        <v>15</v>
      </c>
      <c r="F136" t="s">
        <v>76</v>
      </c>
      <c r="G136" t="s">
        <v>17</v>
      </c>
      <c r="H136" t="s">
        <v>128</v>
      </c>
      <c r="J136" t="s">
        <v>129</v>
      </c>
      <c r="K136" s="2">
        <v>32</v>
      </c>
      <c r="L136">
        <v>24</v>
      </c>
      <c r="M136">
        <f t="shared" si="2"/>
        <v>768</v>
      </c>
    </row>
    <row r="137" spans="1:13">
      <c r="A137" t="s">
        <v>126</v>
      </c>
      <c r="B137" t="s">
        <v>127</v>
      </c>
      <c r="C137" s="1">
        <v>40086</v>
      </c>
      <c r="D137" t="s">
        <v>119</v>
      </c>
      <c r="E137" t="s">
        <v>89</v>
      </c>
      <c r="F137" t="s">
        <v>97</v>
      </c>
      <c r="G137" t="s">
        <v>39</v>
      </c>
      <c r="H137" t="s">
        <v>128</v>
      </c>
      <c r="J137" t="s">
        <v>129</v>
      </c>
      <c r="K137" s="2">
        <v>20</v>
      </c>
      <c r="L137">
        <v>4</v>
      </c>
      <c r="M137">
        <f t="shared" si="2"/>
        <v>80</v>
      </c>
    </row>
    <row r="138" spans="1:13">
      <c r="A138" t="s">
        <v>126</v>
      </c>
      <c r="B138" t="s">
        <v>127</v>
      </c>
      <c r="C138" s="1">
        <v>40086</v>
      </c>
      <c r="D138" t="s">
        <v>77</v>
      </c>
      <c r="E138" t="s">
        <v>89</v>
      </c>
      <c r="F138" t="s">
        <v>51</v>
      </c>
      <c r="G138" t="s">
        <v>39</v>
      </c>
      <c r="H138" t="s">
        <v>128</v>
      </c>
      <c r="J138" t="s">
        <v>129</v>
      </c>
      <c r="K138" s="2">
        <v>45.6</v>
      </c>
      <c r="L138">
        <v>24</v>
      </c>
      <c r="M138">
        <f t="shared" si="2"/>
        <v>1094.4000000000001</v>
      </c>
    </row>
    <row r="139" spans="1:13">
      <c r="A139" t="s">
        <v>126</v>
      </c>
      <c r="B139" t="s">
        <v>127</v>
      </c>
      <c r="C139" s="1">
        <v>40086</v>
      </c>
      <c r="D139" t="s">
        <v>102</v>
      </c>
      <c r="E139" t="s">
        <v>89</v>
      </c>
      <c r="F139" t="s">
        <v>47</v>
      </c>
      <c r="G139" t="s">
        <v>39</v>
      </c>
      <c r="H139" t="s">
        <v>128</v>
      </c>
      <c r="J139" t="s">
        <v>129</v>
      </c>
      <c r="K139" s="2">
        <v>31</v>
      </c>
      <c r="L139">
        <v>36</v>
      </c>
      <c r="M139">
        <f t="shared" si="2"/>
        <v>1116</v>
      </c>
    </row>
    <row r="140" spans="1:13">
      <c r="A140" t="s">
        <v>126</v>
      </c>
      <c r="B140" t="s">
        <v>127</v>
      </c>
      <c r="C140" s="1">
        <v>39742</v>
      </c>
      <c r="D140" t="s">
        <v>20</v>
      </c>
      <c r="E140" t="s">
        <v>66</v>
      </c>
      <c r="F140" t="s">
        <v>22</v>
      </c>
      <c r="G140" t="s">
        <v>17</v>
      </c>
      <c r="H140" t="s">
        <v>128</v>
      </c>
      <c r="J140" t="s">
        <v>129</v>
      </c>
      <c r="K140" s="2">
        <v>13.9</v>
      </c>
      <c r="L140">
        <v>56</v>
      </c>
      <c r="M140">
        <f t="shared" si="2"/>
        <v>778.4</v>
      </c>
    </row>
    <row r="141" spans="1:13">
      <c r="A141" t="s">
        <v>126</v>
      </c>
      <c r="B141" t="s">
        <v>127</v>
      </c>
      <c r="C141" s="1">
        <v>39710</v>
      </c>
      <c r="D141" t="s">
        <v>60</v>
      </c>
      <c r="E141" t="s">
        <v>53</v>
      </c>
      <c r="F141" t="s">
        <v>61</v>
      </c>
      <c r="G141" t="s">
        <v>17</v>
      </c>
      <c r="H141" t="s">
        <v>128</v>
      </c>
      <c r="J141" t="s">
        <v>129</v>
      </c>
      <c r="K141" s="2">
        <v>7.6</v>
      </c>
      <c r="L141">
        <v>15</v>
      </c>
      <c r="M141">
        <f t="shared" si="2"/>
        <v>114</v>
      </c>
    </row>
    <row r="142" spans="1:13">
      <c r="A142" t="s">
        <v>126</v>
      </c>
      <c r="B142" t="s">
        <v>127</v>
      </c>
      <c r="C142" s="1">
        <v>40082</v>
      </c>
      <c r="D142" t="s">
        <v>14</v>
      </c>
      <c r="E142" t="s">
        <v>21</v>
      </c>
      <c r="F142" t="s">
        <v>16</v>
      </c>
      <c r="G142" t="s">
        <v>39</v>
      </c>
      <c r="H142" t="s">
        <v>128</v>
      </c>
      <c r="J142" t="s">
        <v>129</v>
      </c>
      <c r="K142" s="2">
        <v>7.45</v>
      </c>
      <c r="L142">
        <v>7</v>
      </c>
      <c r="M142">
        <f t="shared" si="2"/>
        <v>52.15</v>
      </c>
    </row>
    <row r="143" spans="1:13">
      <c r="A143" t="s">
        <v>126</v>
      </c>
      <c r="B143" t="s">
        <v>127</v>
      </c>
      <c r="C143" s="1">
        <v>40082</v>
      </c>
      <c r="D143" t="s">
        <v>131</v>
      </c>
      <c r="E143" t="s">
        <v>21</v>
      </c>
      <c r="F143" t="s">
        <v>132</v>
      </c>
      <c r="G143" t="s">
        <v>39</v>
      </c>
      <c r="H143" t="s">
        <v>128</v>
      </c>
      <c r="J143" t="s">
        <v>129</v>
      </c>
      <c r="K143" s="2">
        <v>21</v>
      </c>
      <c r="L143">
        <v>50</v>
      </c>
      <c r="M143">
        <f t="shared" si="2"/>
        <v>1050</v>
      </c>
    </row>
    <row r="144" spans="1:13">
      <c r="A144" t="s">
        <v>126</v>
      </c>
      <c r="B144" t="s">
        <v>127</v>
      </c>
      <c r="C144" s="1">
        <v>40082</v>
      </c>
      <c r="D144" t="s">
        <v>85</v>
      </c>
      <c r="E144" t="s">
        <v>21</v>
      </c>
      <c r="F144" t="s">
        <v>33</v>
      </c>
      <c r="G144" t="s">
        <v>39</v>
      </c>
      <c r="H144" t="s">
        <v>128</v>
      </c>
      <c r="J144" t="s">
        <v>129</v>
      </c>
      <c r="K144" s="2">
        <v>53</v>
      </c>
      <c r="L144">
        <v>10</v>
      </c>
      <c r="M144">
        <f t="shared" si="2"/>
        <v>530</v>
      </c>
    </row>
    <row r="145" spans="1:13">
      <c r="A145" t="s">
        <v>139</v>
      </c>
      <c r="B145" t="s">
        <v>140</v>
      </c>
      <c r="C145" s="1">
        <v>40095</v>
      </c>
      <c r="D145" t="s">
        <v>57</v>
      </c>
      <c r="E145" t="s">
        <v>15</v>
      </c>
      <c r="F145" t="s">
        <v>58</v>
      </c>
      <c r="G145" t="s">
        <v>17</v>
      </c>
      <c r="H145" t="s">
        <v>141</v>
      </c>
      <c r="J145" t="s">
        <v>142</v>
      </c>
      <c r="K145" s="2">
        <v>19</v>
      </c>
      <c r="L145">
        <v>6</v>
      </c>
      <c r="M145">
        <f t="shared" si="2"/>
        <v>114</v>
      </c>
    </row>
    <row r="146" spans="1:13">
      <c r="A146" t="s">
        <v>139</v>
      </c>
      <c r="B146" t="s">
        <v>140</v>
      </c>
      <c r="C146" s="1">
        <v>40096</v>
      </c>
      <c r="D146" t="s">
        <v>133</v>
      </c>
      <c r="E146" t="s">
        <v>53</v>
      </c>
      <c r="F146" t="s">
        <v>134</v>
      </c>
      <c r="G146" t="s">
        <v>17</v>
      </c>
      <c r="H146" t="s">
        <v>141</v>
      </c>
      <c r="J146" t="s">
        <v>142</v>
      </c>
      <c r="K146" s="2">
        <v>9.65</v>
      </c>
      <c r="L146">
        <v>12</v>
      </c>
      <c r="M146">
        <f t="shared" si="2"/>
        <v>115.80000000000001</v>
      </c>
    </row>
    <row r="147" spans="1:13">
      <c r="A147" t="s">
        <v>139</v>
      </c>
      <c r="B147" t="s">
        <v>140</v>
      </c>
      <c r="C147" s="1">
        <v>40096</v>
      </c>
      <c r="D147" t="s">
        <v>124</v>
      </c>
      <c r="E147" t="s">
        <v>53</v>
      </c>
      <c r="F147" t="s">
        <v>125</v>
      </c>
      <c r="G147" t="s">
        <v>17</v>
      </c>
      <c r="H147" t="s">
        <v>141</v>
      </c>
      <c r="J147" t="s">
        <v>142</v>
      </c>
      <c r="K147" s="2">
        <v>6</v>
      </c>
      <c r="L147">
        <v>4</v>
      </c>
      <c r="M147">
        <f t="shared" si="2"/>
        <v>24</v>
      </c>
    </row>
    <row r="148" spans="1:13">
      <c r="A148" t="s">
        <v>139</v>
      </c>
      <c r="B148" t="s">
        <v>140</v>
      </c>
      <c r="C148" s="1">
        <v>40095</v>
      </c>
      <c r="D148" t="s">
        <v>120</v>
      </c>
      <c r="E148" t="s">
        <v>15</v>
      </c>
      <c r="F148" t="s">
        <v>33</v>
      </c>
      <c r="G148" t="s">
        <v>17</v>
      </c>
      <c r="H148" t="s">
        <v>141</v>
      </c>
      <c r="J148" t="s">
        <v>142</v>
      </c>
      <c r="K148" s="2">
        <v>7</v>
      </c>
      <c r="L148">
        <v>18</v>
      </c>
      <c r="M148">
        <f t="shared" si="2"/>
        <v>126</v>
      </c>
    </row>
    <row r="149" spans="1:13">
      <c r="A149" t="s">
        <v>139</v>
      </c>
      <c r="B149" t="s">
        <v>140</v>
      </c>
      <c r="C149" s="1">
        <v>39666</v>
      </c>
      <c r="D149" t="s">
        <v>75</v>
      </c>
      <c r="E149" t="s">
        <v>89</v>
      </c>
      <c r="F149" t="s">
        <v>76</v>
      </c>
      <c r="G149" t="s">
        <v>17</v>
      </c>
      <c r="H149" t="s">
        <v>141</v>
      </c>
      <c r="J149" t="s">
        <v>142</v>
      </c>
      <c r="K149" s="2">
        <v>27.8</v>
      </c>
      <c r="L149">
        <v>7</v>
      </c>
      <c r="M149">
        <f t="shared" si="2"/>
        <v>194.6</v>
      </c>
    </row>
    <row r="150" spans="1:13">
      <c r="A150" t="s">
        <v>139</v>
      </c>
      <c r="B150" t="s">
        <v>140</v>
      </c>
      <c r="C150" s="1">
        <v>39666</v>
      </c>
      <c r="D150" t="s">
        <v>121</v>
      </c>
      <c r="E150" t="s">
        <v>89</v>
      </c>
      <c r="F150" t="s">
        <v>41</v>
      </c>
      <c r="G150" t="s">
        <v>17</v>
      </c>
      <c r="H150" t="s">
        <v>141</v>
      </c>
      <c r="J150" t="s">
        <v>142</v>
      </c>
      <c r="K150" s="2">
        <v>17.2</v>
      </c>
      <c r="L150">
        <v>20</v>
      </c>
      <c r="M150">
        <f t="shared" si="2"/>
        <v>344</v>
      </c>
    </row>
    <row r="151" spans="1:13">
      <c r="A151" t="s">
        <v>139</v>
      </c>
      <c r="B151" t="s">
        <v>140</v>
      </c>
      <c r="C151" s="1">
        <v>39633</v>
      </c>
      <c r="D151" t="s">
        <v>110</v>
      </c>
      <c r="E151" t="s">
        <v>66</v>
      </c>
      <c r="F151" t="s">
        <v>74</v>
      </c>
      <c r="G151" t="s">
        <v>17</v>
      </c>
      <c r="H151" t="s">
        <v>141</v>
      </c>
      <c r="J151" t="s">
        <v>142</v>
      </c>
      <c r="K151" s="2">
        <v>9.8000000000000007</v>
      </c>
      <c r="L151">
        <v>10</v>
      </c>
      <c r="M151">
        <f t="shared" si="2"/>
        <v>98</v>
      </c>
    </row>
    <row r="152" spans="1:13">
      <c r="A152" t="s">
        <v>139</v>
      </c>
      <c r="B152" t="s">
        <v>140</v>
      </c>
      <c r="C152" s="1">
        <v>39633</v>
      </c>
      <c r="D152" t="s">
        <v>75</v>
      </c>
      <c r="E152" t="s">
        <v>66</v>
      </c>
      <c r="F152" t="s">
        <v>76</v>
      </c>
      <c r="G152" t="s">
        <v>17</v>
      </c>
      <c r="H152" t="s">
        <v>141</v>
      </c>
      <c r="J152" t="s">
        <v>142</v>
      </c>
      <c r="K152" s="2">
        <v>34.799999999999997</v>
      </c>
      <c r="L152">
        <v>5</v>
      </c>
      <c r="M152">
        <f t="shared" si="2"/>
        <v>174</v>
      </c>
    </row>
    <row r="153" spans="1:13">
      <c r="A153" t="s">
        <v>139</v>
      </c>
      <c r="B153" t="s">
        <v>140</v>
      </c>
      <c r="C153" s="1">
        <v>39633</v>
      </c>
      <c r="D153" t="s">
        <v>28</v>
      </c>
      <c r="E153" t="s">
        <v>66</v>
      </c>
      <c r="F153" t="s">
        <v>29</v>
      </c>
      <c r="G153" t="s">
        <v>17</v>
      </c>
      <c r="H153" t="s">
        <v>141</v>
      </c>
      <c r="J153" t="s">
        <v>142</v>
      </c>
      <c r="K153" s="2">
        <v>14</v>
      </c>
      <c r="L153">
        <v>12</v>
      </c>
      <c r="M153">
        <f t="shared" si="2"/>
        <v>168</v>
      </c>
    </row>
    <row r="154" spans="1:13">
      <c r="A154" t="s">
        <v>139</v>
      </c>
      <c r="B154" t="s">
        <v>140</v>
      </c>
      <c r="C154" s="1">
        <v>39693</v>
      </c>
      <c r="D154" t="s">
        <v>62</v>
      </c>
      <c r="E154" t="s">
        <v>53</v>
      </c>
      <c r="F154" t="s">
        <v>63</v>
      </c>
      <c r="G154" t="s">
        <v>17</v>
      </c>
      <c r="H154" t="s">
        <v>141</v>
      </c>
      <c r="J154" t="s">
        <v>142</v>
      </c>
      <c r="K154" s="2">
        <v>30.4</v>
      </c>
      <c r="L154">
        <v>4</v>
      </c>
      <c r="M154">
        <f t="shared" si="2"/>
        <v>121.6</v>
      </c>
    </row>
    <row r="155" spans="1:13">
      <c r="A155" t="s">
        <v>143</v>
      </c>
      <c r="B155" t="s">
        <v>144</v>
      </c>
      <c r="C155" s="1">
        <v>39494</v>
      </c>
      <c r="D155" t="s">
        <v>55</v>
      </c>
      <c r="E155" t="s">
        <v>103</v>
      </c>
      <c r="F155" t="s">
        <v>56</v>
      </c>
      <c r="G155" t="s">
        <v>39</v>
      </c>
      <c r="H155" t="s">
        <v>145</v>
      </c>
      <c r="J155" t="s">
        <v>146</v>
      </c>
      <c r="K155" s="2">
        <v>263.5</v>
      </c>
      <c r="L155">
        <v>40</v>
      </c>
      <c r="M155">
        <f t="shared" si="2"/>
        <v>10540</v>
      </c>
    </row>
    <row r="156" spans="1:13">
      <c r="A156" t="s">
        <v>143</v>
      </c>
      <c r="B156" t="s">
        <v>144</v>
      </c>
      <c r="C156" s="1">
        <v>39574</v>
      </c>
      <c r="D156" t="s">
        <v>109</v>
      </c>
      <c r="E156" t="s">
        <v>21</v>
      </c>
      <c r="F156" t="s">
        <v>56</v>
      </c>
      <c r="G156" t="s">
        <v>39</v>
      </c>
      <c r="H156" t="s">
        <v>145</v>
      </c>
      <c r="J156" t="s">
        <v>146</v>
      </c>
      <c r="K156" s="2">
        <v>18</v>
      </c>
      <c r="L156">
        <v>2</v>
      </c>
      <c r="M156">
        <f t="shared" si="2"/>
        <v>36</v>
      </c>
    </row>
    <row r="157" spans="1:13">
      <c r="A157" t="s">
        <v>143</v>
      </c>
      <c r="B157" t="s">
        <v>144</v>
      </c>
      <c r="C157" s="1">
        <v>39574</v>
      </c>
      <c r="D157" t="s">
        <v>133</v>
      </c>
      <c r="E157" t="s">
        <v>21</v>
      </c>
      <c r="F157" t="s">
        <v>134</v>
      </c>
      <c r="G157" t="s">
        <v>39</v>
      </c>
      <c r="H157" t="s">
        <v>145</v>
      </c>
      <c r="J157" t="s">
        <v>146</v>
      </c>
      <c r="K157" s="2">
        <v>9.65</v>
      </c>
      <c r="L157">
        <v>3</v>
      </c>
      <c r="M157">
        <f t="shared" si="2"/>
        <v>28.950000000000003</v>
      </c>
    </row>
    <row r="158" spans="1:13">
      <c r="A158" t="s">
        <v>143</v>
      </c>
      <c r="B158" t="s">
        <v>144</v>
      </c>
      <c r="C158" s="1">
        <v>39494</v>
      </c>
      <c r="D158" t="s">
        <v>131</v>
      </c>
      <c r="E158" t="s">
        <v>103</v>
      </c>
      <c r="F158" t="s">
        <v>132</v>
      </c>
      <c r="G158" t="s">
        <v>39</v>
      </c>
      <c r="H158" t="s">
        <v>145</v>
      </c>
      <c r="J158" t="s">
        <v>146</v>
      </c>
      <c r="K158" s="2">
        <v>21</v>
      </c>
      <c r="L158">
        <v>40</v>
      </c>
      <c r="M158">
        <f t="shared" si="2"/>
        <v>840</v>
      </c>
    </row>
    <row r="159" spans="1:13">
      <c r="A159" t="s">
        <v>143</v>
      </c>
      <c r="B159" t="s">
        <v>144</v>
      </c>
      <c r="C159" s="1">
        <v>39574</v>
      </c>
      <c r="D159" t="s">
        <v>49</v>
      </c>
      <c r="E159" t="s">
        <v>21</v>
      </c>
      <c r="F159" t="s">
        <v>51</v>
      </c>
      <c r="G159" t="s">
        <v>39</v>
      </c>
      <c r="H159" t="s">
        <v>145</v>
      </c>
      <c r="J159" t="s">
        <v>146</v>
      </c>
      <c r="K159" s="2">
        <v>13</v>
      </c>
      <c r="L159">
        <v>2</v>
      </c>
      <c r="M159">
        <f t="shared" si="2"/>
        <v>26</v>
      </c>
    </row>
    <row r="160" spans="1:13">
      <c r="A160" t="s">
        <v>143</v>
      </c>
      <c r="B160" t="s">
        <v>144</v>
      </c>
      <c r="C160" s="1">
        <v>39574</v>
      </c>
      <c r="D160" t="s">
        <v>71</v>
      </c>
      <c r="E160" t="s">
        <v>21</v>
      </c>
      <c r="F160" t="s">
        <v>51</v>
      </c>
      <c r="G160" t="s">
        <v>39</v>
      </c>
      <c r="H160" t="s">
        <v>145</v>
      </c>
      <c r="J160" t="s">
        <v>146</v>
      </c>
      <c r="K160" s="2">
        <v>7.75</v>
      </c>
      <c r="L160">
        <v>4</v>
      </c>
      <c r="M160">
        <f t="shared" si="2"/>
        <v>31</v>
      </c>
    </row>
    <row r="161" spans="1:13">
      <c r="A161" t="s">
        <v>143</v>
      </c>
      <c r="B161" t="s">
        <v>144</v>
      </c>
      <c r="C161" s="1">
        <v>39574</v>
      </c>
      <c r="D161" t="s">
        <v>65</v>
      </c>
      <c r="E161" t="s">
        <v>21</v>
      </c>
      <c r="F161" t="s">
        <v>58</v>
      </c>
      <c r="G161" t="s">
        <v>39</v>
      </c>
      <c r="H161" t="s">
        <v>145</v>
      </c>
      <c r="J161" t="s">
        <v>146</v>
      </c>
      <c r="K161" s="2">
        <v>15</v>
      </c>
      <c r="L161">
        <v>2</v>
      </c>
      <c r="M161">
        <f t="shared" si="2"/>
        <v>30</v>
      </c>
    </row>
    <row r="162" spans="1:13">
      <c r="A162" t="s">
        <v>143</v>
      </c>
      <c r="B162" t="s">
        <v>144</v>
      </c>
      <c r="C162" s="1">
        <v>39574</v>
      </c>
      <c r="D162" t="s">
        <v>147</v>
      </c>
      <c r="E162" t="s">
        <v>21</v>
      </c>
      <c r="F162" t="s">
        <v>51</v>
      </c>
      <c r="G162" t="s">
        <v>39</v>
      </c>
      <c r="H162" t="s">
        <v>145</v>
      </c>
      <c r="J162" t="s">
        <v>146</v>
      </c>
      <c r="K162" s="2">
        <v>33.25</v>
      </c>
      <c r="L162">
        <v>2</v>
      </c>
      <c r="M162">
        <f t="shared" si="2"/>
        <v>66.5</v>
      </c>
    </row>
    <row r="163" spans="1:13">
      <c r="A163" t="s">
        <v>143</v>
      </c>
      <c r="B163" t="s">
        <v>144</v>
      </c>
      <c r="C163" s="1">
        <v>39538</v>
      </c>
      <c r="D163" t="s">
        <v>87</v>
      </c>
      <c r="E163" t="s">
        <v>15</v>
      </c>
      <c r="F163" t="s">
        <v>25</v>
      </c>
      <c r="G163" t="s">
        <v>39</v>
      </c>
      <c r="H163" t="s">
        <v>145</v>
      </c>
      <c r="J163" t="s">
        <v>146</v>
      </c>
      <c r="K163" s="2">
        <v>30</v>
      </c>
      <c r="L163">
        <v>60</v>
      </c>
      <c r="M163">
        <f t="shared" si="2"/>
        <v>1800</v>
      </c>
    </row>
    <row r="164" spans="1:13">
      <c r="A164" t="s">
        <v>143</v>
      </c>
      <c r="B164" t="s">
        <v>144</v>
      </c>
      <c r="C164" s="1">
        <v>39544</v>
      </c>
      <c r="D164" t="s">
        <v>49</v>
      </c>
      <c r="E164" t="s">
        <v>53</v>
      </c>
      <c r="F164" t="s">
        <v>51</v>
      </c>
      <c r="G164" t="s">
        <v>39</v>
      </c>
      <c r="H164" t="s">
        <v>145</v>
      </c>
      <c r="J164" t="s">
        <v>146</v>
      </c>
      <c r="K164" s="2">
        <v>13</v>
      </c>
      <c r="L164">
        <v>30</v>
      </c>
      <c r="M164">
        <f t="shared" si="2"/>
        <v>390</v>
      </c>
    </row>
    <row r="165" spans="1:13">
      <c r="A165" t="s">
        <v>143</v>
      </c>
      <c r="B165" t="s">
        <v>144</v>
      </c>
      <c r="C165" s="1">
        <v>39538</v>
      </c>
      <c r="D165" t="s">
        <v>38</v>
      </c>
      <c r="E165" t="s">
        <v>15</v>
      </c>
      <c r="F165" t="s">
        <v>29</v>
      </c>
      <c r="G165" t="s">
        <v>39</v>
      </c>
      <c r="H165" t="s">
        <v>145</v>
      </c>
      <c r="J165" t="s">
        <v>146</v>
      </c>
      <c r="K165" s="2">
        <v>49.3</v>
      </c>
      <c r="L165">
        <v>40</v>
      </c>
      <c r="M165">
        <f t="shared" si="2"/>
        <v>1972</v>
      </c>
    </row>
    <row r="166" spans="1:13">
      <c r="A166" t="s">
        <v>143</v>
      </c>
      <c r="B166" t="s">
        <v>144</v>
      </c>
      <c r="C166" s="1">
        <v>39473</v>
      </c>
      <c r="D166" t="s">
        <v>36</v>
      </c>
      <c r="E166" t="s">
        <v>67</v>
      </c>
      <c r="F166" t="s">
        <v>37</v>
      </c>
      <c r="G166" t="s">
        <v>39</v>
      </c>
      <c r="H166" t="s">
        <v>145</v>
      </c>
      <c r="J166" t="s">
        <v>146</v>
      </c>
      <c r="K166" s="2">
        <v>19</v>
      </c>
      <c r="L166">
        <v>15</v>
      </c>
      <c r="M166">
        <f t="shared" si="2"/>
        <v>285</v>
      </c>
    </row>
    <row r="167" spans="1:13">
      <c r="A167" t="s">
        <v>143</v>
      </c>
      <c r="B167" t="s">
        <v>144</v>
      </c>
      <c r="C167" s="1">
        <v>39574</v>
      </c>
      <c r="D167" t="s">
        <v>148</v>
      </c>
      <c r="E167" t="s">
        <v>21</v>
      </c>
      <c r="F167" t="s">
        <v>16</v>
      </c>
      <c r="G167" t="s">
        <v>39</v>
      </c>
      <c r="H167" t="s">
        <v>145</v>
      </c>
      <c r="J167" t="s">
        <v>146</v>
      </c>
      <c r="K167" s="2">
        <v>24</v>
      </c>
      <c r="L167">
        <v>2</v>
      </c>
      <c r="M167">
        <f t="shared" si="2"/>
        <v>48</v>
      </c>
    </row>
    <row r="168" spans="1:13">
      <c r="A168" t="s">
        <v>143</v>
      </c>
      <c r="B168" t="s">
        <v>144</v>
      </c>
      <c r="C168" s="1">
        <v>39574</v>
      </c>
      <c r="D168" t="s">
        <v>120</v>
      </c>
      <c r="E168" t="s">
        <v>21</v>
      </c>
      <c r="F168" t="s">
        <v>33</v>
      </c>
      <c r="G168" t="s">
        <v>39</v>
      </c>
      <c r="H168" t="s">
        <v>145</v>
      </c>
      <c r="J168" t="s">
        <v>146</v>
      </c>
      <c r="K168" s="2">
        <v>7</v>
      </c>
      <c r="L168">
        <v>2</v>
      </c>
      <c r="M168">
        <f t="shared" si="2"/>
        <v>14</v>
      </c>
    </row>
    <row r="169" spans="1:13">
      <c r="A169" t="s">
        <v>143</v>
      </c>
      <c r="B169" t="s">
        <v>144</v>
      </c>
      <c r="C169" s="1">
        <v>39574</v>
      </c>
      <c r="D169" t="s">
        <v>70</v>
      </c>
      <c r="E169" t="s">
        <v>21</v>
      </c>
      <c r="F169" t="s">
        <v>61</v>
      </c>
      <c r="G169" t="s">
        <v>39</v>
      </c>
      <c r="H169" t="s">
        <v>145</v>
      </c>
      <c r="J169" t="s">
        <v>146</v>
      </c>
      <c r="K169" s="2">
        <v>12</v>
      </c>
      <c r="L169">
        <v>3</v>
      </c>
      <c r="M169">
        <f t="shared" si="2"/>
        <v>36</v>
      </c>
    </row>
    <row r="170" spans="1:13">
      <c r="A170" t="s">
        <v>143</v>
      </c>
      <c r="B170" t="s">
        <v>144</v>
      </c>
      <c r="C170" s="1">
        <v>39716</v>
      </c>
      <c r="D170" t="s">
        <v>68</v>
      </c>
      <c r="E170" t="s">
        <v>21</v>
      </c>
      <c r="F170" t="s">
        <v>69</v>
      </c>
      <c r="G170" t="s">
        <v>17</v>
      </c>
      <c r="H170" t="s">
        <v>145</v>
      </c>
      <c r="J170" t="s">
        <v>146</v>
      </c>
      <c r="K170" s="2">
        <v>10.6</v>
      </c>
      <c r="L170">
        <v>30</v>
      </c>
      <c r="M170">
        <f t="shared" si="2"/>
        <v>318</v>
      </c>
    </row>
    <row r="171" spans="1:13">
      <c r="A171" t="s">
        <v>143</v>
      </c>
      <c r="B171" t="s">
        <v>144</v>
      </c>
      <c r="C171" s="1">
        <v>39716</v>
      </c>
      <c r="D171" t="s">
        <v>138</v>
      </c>
      <c r="E171" t="s">
        <v>21</v>
      </c>
      <c r="F171" t="s">
        <v>76</v>
      </c>
      <c r="G171" t="s">
        <v>17</v>
      </c>
      <c r="H171" t="s">
        <v>145</v>
      </c>
      <c r="J171" t="s">
        <v>146</v>
      </c>
      <c r="K171" s="2">
        <v>25.6</v>
      </c>
      <c r="L171">
        <v>40</v>
      </c>
      <c r="M171">
        <f t="shared" si="2"/>
        <v>1024</v>
      </c>
    </row>
    <row r="172" spans="1:13">
      <c r="A172" t="s">
        <v>143</v>
      </c>
      <c r="B172" t="s">
        <v>144</v>
      </c>
      <c r="C172" s="1">
        <v>39716</v>
      </c>
      <c r="D172" t="s">
        <v>38</v>
      </c>
      <c r="E172" t="s">
        <v>21</v>
      </c>
      <c r="F172" t="s">
        <v>29</v>
      </c>
      <c r="G172" t="s">
        <v>17</v>
      </c>
      <c r="H172" t="s">
        <v>145</v>
      </c>
      <c r="J172" t="s">
        <v>146</v>
      </c>
      <c r="K172" s="2">
        <v>39.4</v>
      </c>
      <c r="L172">
        <v>25</v>
      </c>
      <c r="M172">
        <f t="shared" si="2"/>
        <v>985</v>
      </c>
    </row>
    <row r="173" spans="1:13">
      <c r="A173" t="s">
        <v>143</v>
      </c>
      <c r="B173" t="s">
        <v>144</v>
      </c>
      <c r="C173" s="1">
        <v>39651</v>
      </c>
      <c r="D173" t="s">
        <v>62</v>
      </c>
      <c r="E173" t="s">
        <v>67</v>
      </c>
      <c r="F173" t="s">
        <v>63</v>
      </c>
      <c r="G173" t="s">
        <v>17</v>
      </c>
      <c r="H173" t="s">
        <v>145</v>
      </c>
      <c r="J173" t="s">
        <v>146</v>
      </c>
      <c r="K173" s="2">
        <v>30.4</v>
      </c>
      <c r="L173">
        <v>2</v>
      </c>
      <c r="M173">
        <f t="shared" si="2"/>
        <v>60.8</v>
      </c>
    </row>
    <row r="174" spans="1:13">
      <c r="A174" t="s">
        <v>143</v>
      </c>
      <c r="B174" t="s">
        <v>144</v>
      </c>
      <c r="C174" s="1">
        <v>39651</v>
      </c>
      <c r="D174" t="s">
        <v>87</v>
      </c>
      <c r="E174" t="s">
        <v>67</v>
      </c>
      <c r="F174" t="s">
        <v>25</v>
      </c>
      <c r="G174" t="s">
        <v>17</v>
      </c>
      <c r="H174" t="s">
        <v>145</v>
      </c>
      <c r="J174" t="s">
        <v>146</v>
      </c>
      <c r="K174" s="2">
        <v>24</v>
      </c>
      <c r="L174">
        <v>15</v>
      </c>
      <c r="M174">
        <f t="shared" si="2"/>
        <v>360</v>
      </c>
    </row>
    <row r="175" spans="1:13">
      <c r="A175" t="s">
        <v>143</v>
      </c>
      <c r="B175" t="s">
        <v>144</v>
      </c>
      <c r="C175" s="1">
        <v>39651</v>
      </c>
      <c r="D175" t="s">
        <v>149</v>
      </c>
      <c r="E175" t="s">
        <v>67</v>
      </c>
      <c r="F175" t="s">
        <v>27</v>
      </c>
      <c r="G175" t="s">
        <v>17</v>
      </c>
      <c r="H175" t="s">
        <v>145</v>
      </c>
      <c r="J175" t="s">
        <v>146</v>
      </c>
      <c r="K175" s="2">
        <v>17</v>
      </c>
      <c r="L175">
        <v>12</v>
      </c>
      <c r="M175">
        <f t="shared" si="2"/>
        <v>204</v>
      </c>
    </row>
    <row r="176" spans="1:13">
      <c r="A176" t="s">
        <v>143</v>
      </c>
      <c r="B176" t="s">
        <v>144</v>
      </c>
      <c r="C176" s="1">
        <v>39814</v>
      </c>
      <c r="D176" t="s">
        <v>83</v>
      </c>
      <c r="E176" t="s">
        <v>21</v>
      </c>
      <c r="F176" t="s">
        <v>84</v>
      </c>
      <c r="G176" t="s">
        <v>17</v>
      </c>
      <c r="H176" t="s">
        <v>145</v>
      </c>
      <c r="J176" t="s">
        <v>146</v>
      </c>
      <c r="K176" s="2">
        <v>20.7</v>
      </c>
      <c r="L176">
        <v>18</v>
      </c>
      <c r="M176">
        <f t="shared" si="2"/>
        <v>372.59999999999997</v>
      </c>
    </row>
    <row r="177" spans="1:13">
      <c r="A177" t="s">
        <v>143</v>
      </c>
      <c r="B177" t="s">
        <v>144</v>
      </c>
      <c r="C177" s="1">
        <v>39814</v>
      </c>
      <c r="D177" t="s">
        <v>62</v>
      </c>
      <c r="E177" t="s">
        <v>21</v>
      </c>
      <c r="F177" t="s">
        <v>63</v>
      </c>
      <c r="G177" t="s">
        <v>17</v>
      </c>
      <c r="H177" t="s">
        <v>145</v>
      </c>
      <c r="J177" t="s">
        <v>146</v>
      </c>
      <c r="K177" s="2">
        <v>30.4</v>
      </c>
      <c r="L177">
        <v>70</v>
      </c>
      <c r="M177">
        <f t="shared" si="2"/>
        <v>2128</v>
      </c>
    </row>
    <row r="178" spans="1:13">
      <c r="A178" t="s">
        <v>143</v>
      </c>
      <c r="B178" t="s">
        <v>144</v>
      </c>
      <c r="C178" s="1">
        <v>39473</v>
      </c>
      <c r="D178" t="s">
        <v>38</v>
      </c>
      <c r="E178" t="s">
        <v>67</v>
      </c>
      <c r="F178" t="s">
        <v>29</v>
      </c>
      <c r="G178" t="s">
        <v>39</v>
      </c>
      <c r="H178" t="s">
        <v>145</v>
      </c>
      <c r="J178" t="s">
        <v>146</v>
      </c>
      <c r="K178" s="2">
        <v>49.3</v>
      </c>
      <c r="L178">
        <v>50</v>
      </c>
      <c r="M178">
        <f t="shared" si="2"/>
        <v>2465</v>
      </c>
    </row>
    <row r="179" spans="1:13">
      <c r="A179" t="s">
        <v>143</v>
      </c>
      <c r="B179" t="s">
        <v>144</v>
      </c>
      <c r="C179" s="1">
        <v>39814</v>
      </c>
      <c r="D179" t="s">
        <v>121</v>
      </c>
      <c r="E179" t="s">
        <v>21</v>
      </c>
      <c r="F179" t="s">
        <v>41</v>
      </c>
      <c r="G179" t="s">
        <v>17</v>
      </c>
      <c r="H179" t="s">
        <v>145</v>
      </c>
      <c r="J179" t="s">
        <v>146</v>
      </c>
      <c r="K179" s="2">
        <v>17.2</v>
      </c>
      <c r="L179">
        <v>60</v>
      </c>
      <c r="M179">
        <f t="shared" si="2"/>
        <v>1032</v>
      </c>
    </row>
    <row r="180" spans="1:13">
      <c r="A180" t="s">
        <v>143</v>
      </c>
      <c r="B180" t="s">
        <v>144</v>
      </c>
      <c r="C180" s="1">
        <v>39544</v>
      </c>
      <c r="D180" t="s">
        <v>98</v>
      </c>
      <c r="E180" t="s">
        <v>53</v>
      </c>
      <c r="F180" t="s">
        <v>99</v>
      </c>
      <c r="G180" t="s">
        <v>39</v>
      </c>
      <c r="H180" t="s">
        <v>145</v>
      </c>
      <c r="J180" t="s">
        <v>146</v>
      </c>
      <c r="K180" s="2">
        <v>4.5</v>
      </c>
      <c r="L180">
        <v>30</v>
      </c>
      <c r="M180">
        <f t="shared" si="2"/>
        <v>135</v>
      </c>
    </row>
    <row r="181" spans="1:13">
      <c r="A181" t="s">
        <v>143</v>
      </c>
      <c r="B181" t="s">
        <v>144</v>
      </c>
      <c r="C181" s="1">
        <v>39974</v>
      </c>
      <c r="D181" t="s">
        <v>148</v>
      </c>
      <c r="E181" t="s">
        <v>24</v>
      </c>
      <c r="F181" t="s">
        <v>16</v>
      </c>
      <c r="G181" t="s">
        <v>17</v>
      </c>
      <c r="H181" t="s">
        <v>145</v>
      </c>
      <c r="J181" t="s">
        <v>146</v>
      </c>
      <c r="K181" s="2">
        <v>24</v>
      </c>
      <c r="L181">
        <v>25</v>
      </c>
      <c r="M181">
        <f t="shared" si="2"/>
        <v>600</v>
      </c>
    </row>
    <row r="182" spans="1:13">
      <c r="A182" t="s">
        <v>143</v>
      </c>
      <c r="B182" t="s">
        <v>144</v>
      </c>
      <c r="C182" s="1">
        <v>40008</v>
      </c>
      <c r="D182" t="s">
        <v>121</v>
      </c>
      <c r="E182" t="s">
        <v>21</v>
      </c>
      <c r="F182" t="s">
        <v>41</v>
      </c>
      <c r="G182" t="s">
        <v>17</v>
      </c>
      <c r="H182" t="s">
        <v>145</v>
      </c>
      <c r="J182" t="s">
        <v>146</v>
      </c>
      <c r="K182" s="2">
        <v>21.5</v>
      </c>
      <c r="L182">
        <v>9</v>
      </c>
      <c r="M182">
        <f t="shared" si="2"/>
        <v>193.5</v>
      </c>
    </row>
    <row r="183" spans="1:13">
      <c r="A183" t="s">
        <v>143</v>
      </c>
      <c r="B183" t="s">
        <v>144</v>
      </c>
      <c r="C183" s="1">
        <v>40008</v>
      </c>
      <c r="D183" t="s">
        <v>150</v>
      </c>
      <c r="E183" t="s">
        <v>21</v>
      </c>
      <c r="F183" t="s">
        <v>31</v>
      </c>
      <c r="G183" t="s">
        <v>17</v>
      </c>
      <c r="H183" t="s">
        <v>145</v>
      </c>
      <c r="J183" t="s">
        <v>146</v>
      </c>
      <c r="K183" s="2">
        <v>43.9</v>
      </c>
      <c r="L183">
        <v>50</v>
      </c>
      <c r="M183">
        <f t="shared" si="2"/>
        <v>2195</v>
      </c>
    </row>
    <row r="184" spans="1:13">
      <c r="A184" t="s">
        <v>143</v>
      </c>
      <c r="B184" t="s">
        <v>144</v>
      </c>
      <c r="C184" s="1">
        <v>39574</v>
      </c>
      <c r="D184" t="s">
        <v>86</v>
      </c>
      <c r="E184" t="s">
        <v>21</v>
      </c>
      <c r="F184" t="s">
        <v>54</v>
      </c>
      <c r="G184" t="s">
        <v>39</v>
      </c>
      <c r="H184" t="s">
        <v>145</v>
      </c>
      <c r="J184" t="s">
        <v>146</v>
      </c>
      <c r="K184" s="2">
        <v>34</v>
      </c>
      <c r="L184">
        <v>2</v>
      </c>
      <c r="M184">
        <f t="shared" si="2"/>
        <v>68</v>
      </c>
    </row>
    <row r="185" spans="1:13">
      <c r="A185" t="s">
        <v>143</v>
      </c>
      <c r="B185" t="s">
        <v>144</v>
      </c>
      <c r="C185" s="1">
        <v>39473</v>
      </c>
      <c r="D185" t="s">
        <v>48</v>
      </c>
      <c r="E185" t="s">
        <v>67</v>
      </c>
      <c r="F185" t="s">
        <v>22</v>
      </c>
      <c r="G185" t="s">
        <v>39</v>
      </c>
      <c r="H185" t="s">
        <v>145</v>
      </c>
      <c r="J185" t="s">
        <v>146</v>
      </c>
      <c r="K185" s="2">
        <v>39</v>
      </c>
      <c r="L185">
        <v>6</v>
      </c>
      <c r="M185">
        <f t="shared" si="2"/>
        <v>234</v>
      </c>
    </row>
    <row r="186" spans="1:13">
      <c r="A186" t="s">
        <v>143</v>
      </c>
      <c r="B186" t="s">
        <v>144</v>
      </c>
      <c r="C186" s="1">
        <v>39574</v>
      </c>
      <c r="D186" t="s">
        <v>138</v>
      </c>
      <c r="E186" t="s">
        <v>21</v>
      </c>
      <c r="F186" t="s">
        <v>76</v>
      </c>
      <c r="G186" t="s">
        <v>39</v>
      </c>
      <c r="H186" t="s">
        <v>145</v>
      </c>
      <c r="J186" t="s">
        <v>146</v>
      </c>
      <c r="K186" s="2">
        <v>32</v>
      </c>
      <c r="L186">
        <v>1</v>
      </c>
      <c r="M186">
        <f t="shared" si="2"/>
        <v>32</v>
      </c>
    </row>
    <row r="187" spans="1:13">
      <c r="A187" t="s">
        <v>143</v>
      </c>
      <c r="B187" t="s">
        <v>144</v>
      </c>
      <c r="C187" s="1">
        <v>39544</v>
      </c>
      <c r="D187" t="s">
        <v>26</v>
      </c>
      <c r="E187" t="s">
        <v>53</v>
      </c>
      <c r="F187" t="s">
        <v>27</v>
      </c>
      <c r="G187" t="s">
        <v>39</v>
      </c>
      <c r="H187" t="s">
        <v>145</v>
      </c>
      <c r="J187" t="s">
        <v>146</v>
      </c>
      <c r="K187" s="2">
        <v>22</v>
      </c>
      <c r="L187">
        <v>25</v>
      </c>
      <c r="M187">
        <f t="shared" si="2"/>
        <v>550</v>
      </c>
    </row>
    <row r="188" spans="1:13">
      <c r="A188" t="s">
        <v>143</v>
      </c>
      <c r="B188" t="s">
        <v>144</v>
      </c>
      <c r="C188" s="1">
        <v>39814</v>
      </c>
      <c r="D188" t="s">
        <v>95</v>
      </c>
      <c r="E188" t="s">
        <v>21</v>
      </c>
      <c r="F188" t="s">
        <v>27</v>
      </c>
      <c r="G188" t="s">
        <v>17</v>
      </c>
      <c r="H188" t="s">
        <v>145</v>
      </c>
      <c r="J188" t="s">
        <v>146</v>
      </c>
      <c r="K188" s="2">
        <v>16.8</v>
      </c>
      <c r="L188">
        <v>20</v>
      </c>
      <c r="M188">
        <f t="shared" si="2"/>
        <v>336</v>
      </c>
    </row>
    <row r="189" spans="1:13">
      <c r="A189" t="s">
        <v>143</v>
      </c>
      <c r="B189" t="s">
        <v>144</v>
      </c>
      <c r="C189" s="1">
        <v>39718</v>
      </c>
      <c r="D189" t="s">
        <v>38</v>
      </c>
      <c r="E189" t="s">
        <v>21</v>
      </c>
      <c r="F189" t="s">
        <v>29</v>
      </c>
      <c r="G189" t="s">
        <v>17</v>
      </c>
      <c r="H189" t="s">
        <v>145</v>
      </c>
      <c r="J189" t="s">
        <v>146</v>
      </c>
      <c r="K189" s="2">
        <v>39.4</v>
      </c>
      <c r="L189">
        <v>70</v>
      </c>
      <c r="M189">
        <f t="shared" si="2"/>
        <v>2758</v>
      </c>
    </row>
    <row r="190" spans="1:13">
      <c r="A190" t="s">
        <v>143</v>
      </c>
      <c r="B190" t="s">
        <v>144</v>
      </c>
      <c r="C190" s="1">
        <v>39662</v>
      </c>
      <c r="D190" t="s">
        <v>75</v>
      </c>
      <c r="E190" t="s">
        <v>89</v>
      </c>
      <c r="F190" t="s">
        <v>76</v>
      </c>
      <c r="G190" t="s">
        <v>17</v>
      </c>
      <c r="H190" t="s">
        <v>145</v>
      </c>
      <c r="J190" t="s">
        <v>146</v>
      </c>
      <c r="K190" s="2">
        <v>27.8</v>
      </c>
      <c r="L190">
        <v>24</v>
      </c>
      <c r="M190">
        <f t="shared" si="2"/>
        <v>667.2</v>
      </c>
    </row>
    <row r="191" spans="1:13">
      <c r="A191" t="s">
        <v>143</v>
      </c>
      <c r="B191" t="s">
        <v>144</v>
      </c>
      <c r="C191" s="1">
        <v>39980</v>
      </c>
      <c r="D191" t="s">
        <v>137</v>
      </c>
      <c r="E191" t="s">
        <v>66</v>
      </c>
      <c r="F191" t="s">
        <v>76</v>
      </c>
      <c r="G191" t="s">
        <v>17</v>
      </c>
      <c r="H191" t="s">
        <v>145</v>
      </c>
      <c r="J191" t="s">
        <v>146</v>
      </c>
      <c r="K191" s="2">
        <v>12.5</v>
      </c>
      <c r="L191">
        <v>35</v>
      </c>
      <c r="M191">
        <f t="shared" si="2"/>
        <v>437.5</v>
      </c>
    </row>
    <row r="192" spans="1:13">
      <c r="A192" t="s">
        <v>143</v>
      </c>
      <c r="B192" t="s">
        <v>144</v>
      </c>
      <c r="C192" s="1">
        <v>39980</v>
      </c>
      <c r="D192" t="s">
        <v>96</v>
      </c>
      <c r="E192" t="s">
        <v>66</v>
      </c>
      <c r="F192" t="s">
        <v>97</v>
      </c>
      <c r="G192" t="s">
        <v>17</v>
      </c>
      <c r="H192" t="s">
        <v>145</v>
      </c>
      <c r="J192" t="s">
        <v>146</v>
      </c>
      <c r="K192" s="2">
        <v>18</v>
      </c>
      <c r="L192">
        <v>30</v>
      </c>
      <c r="M192">
        <f t="shared" si="2"/>
        <v>540</v>
      </c>
    </row>
    <row r="193" spans="1:13">
      <c r="A193" t="s">
        <v>143</v>
      </c>
      <c r="B193" t="s">
        <v>144</v>
      </c>
      <c r="C193" s="1">
        <v>39690</v>
      </c>
      <c r="D193" t="s">
        <v>48</v>
      </c>
      <c r="E193" t="s">
        <v>24</v>
      </c>
      <c r="F193" t="s">
        <v>22</v>
      </c>
      <c r="G193" t="s">
        <v>17</v>
      </c>
      <c r="H193" t="s">
        <v>145</v>
      </c>
      <c r="J193" t="s">
        <v>146</v>
      </c>
      <c r="K193" s="2">
        <v>31.2</v>
      </c>
      <c r="L193">
        <v>15</v>
      </c>
      <c r="M193">
        <f t="shared" si="2"/>
        <v>468</v>
      </c>
    </row>
    <row r="194" spans="1:13">
      <c r="A194" t="s">
        <v>143</v>
      </c>
      <c r="B194" t="s">
        <v>144</v>
      </c>
      <c r="C194" s="1">
        <v>39891</v>
      </c>
      <c r="D194" t="s">
        <v>55</v>
      </c>
      <c r="E194" t="s">
        <v>15</v>
      </c>
      <c r="F194" t="s">
        <v>56</v>
      </c>
      <c r="G194" t="s">
        <v>17</v>
      </c>
      <c r="H194" t="s">
        <v>145</v>
      </c>
      <c r="J194" t="s">
        <v>146</v>
      </c>
      <c r="K194" s="2">
        <v>210.8</v>
      </c>
      <c r="L194">
        <v>30</v>
      </c>
      <c r="M194">
        <f t="shared" si="2"/>
        <v>6324</v>
      </c>
    </row>
    <row r="195" spans="1:13">
      <c r="A195" t="s">
        <v>143</v>
      </c>
      <c r="B195" t="s">
        <v>144</v>
      </c>
      <c r="C195" s="1">
        <v>39891</v>
      </c>
      <c r="D195" t="s">
        <v>32</v>
      </c>
      <c r="E195" t="s">
        <v>15</v>
      </c>
      <c r="F195" t="s">
        <v>33</v>
      </c>
      <c r="G195" t="s">
        <v>17</v>
      </c>
      <c r="H195" t="s">
        <v>145</v>
      </c>
      <c r="J195" t="s">
        <v>146</v>
      </c>
      <c r="K195" s="2">
        <v>26.2</v>
      </c>
      <c r="L195">
        <v>28</v>
      </c>
      <c r="M195">
        <f t="shared" ref="M195:M258" si="3">K195*L195</f>
        <v>733.6</v>
      </c>
    </row>
    <row r="196" spans="1:13">
      <c r="A196" t="s">
        <v>143</v>
      </c>
      <c r="B196" t="s">
        <v>144</v>
      </c>
      <c r="C196" s="1">
        <v>39891</v>
      </c>
      <c r="D196" t="s">
        <v>52</v>
      </c>
      <c r="E196" t="s">
        <v>15</v>
      </c>
      <c r="F196" t="s">
        <v>54</v>
      </c>
      <c r="G196" t="s">
        <v>17</v>
      </c>
      <c r="H196" t="s">
        <v>145</v>
      </c>
      <c r="J196" t="s">
        <v>146</v>
      </c>
      <c r="K196" s="2">
        <v>44</v>
      </c>
      <c r="L196">
        <v>60</v>
      </c>
      <c r="M196">
        <f t="shared" si="3"/>
        <v>2640</v>
      </c>
    </row>
    <row r="197" spans="1:13">
      <c r="A197" t="s">
        <v>143</v>
      </c>
      <c r="B197" t="s">
        <v>144</v>
      </c>
      <c r="C197" s="1">
        <v>39574</v>
      </c>
      <c r="D197" t="s">
        <v>151</v>
      </c>
      <c r="E197" t="s">
        <v>21</v>
      </c>
      <c r="F197" t="s">
        <v>37</v>
      </c>
      <c r="G197" t="s">
        <v>39</v>
      </c>
      <c r="H197" t="s">
        <v>145</v>
      </c>
      <c r="J197" t="s">
        <v>146</v>
      </c>
      <c r="K197" s="2">
        <v>10</v>
      </c>
      <c r="L197">
        <v>4</v>
      </c>
      <c r="M197">
        <f t="shared" si="3"/>
        <v>40</v>
      </c>
    </row>
    <row r="198" spans="1:13">
      <c r="A198" t="s">
        <v>143</v>
      </c>
      <c r="B198" t="s">
        <v>144</v>
      </c>
      <c r="C198" s="1">
        <v>39662</v>
      </c>
      <c r="D198" t="s">
        <v>136</v>
      </c>
      <c r="E198" t="s">
        <v>89</v>
      </c>
      <c r="F198" t="s">
        <v>35</v>
      </c>
      <c r="G198" t="s">
        <v>17</v>
      </c>
      <c r="H198" t="s">
        <v>145</v>
      </c>
      <c r="J198" t="s">
        <v>146</v>
      </c>
      <c r="K198" s="2">
        <v>64.8</v>
      </c>
      <c r="L198">
        <v>6</v>
      </c>
      <c r="M198">
        <f t="shared" si="3"/>
        <v>388.79999999999995</v>
      </c>
    </row>
    <row r="199" spans="1:13">
      <c r="A199" t="s">
        <v>143</v>
      </c>
      <c r="B199" t="s">
        <v>144</v>
      </c>
      <c r="C199" s="1">
        <v>39690</v>
      </c>
      <c r="D199" t="s">
        <v>94</v>
      </c>
      <c r="E199" t="s">
        <v>24</v>
      </c>
      <c r="F199" t="s">
        <v>74</v>
      </c>
      <c r="G199" t="s">
        <v>17</v>
      </c>
      <c r="H199" t="s">
        <v>145</v>
      </c>
      <c r="J199" t="s">
        <v>146</v>
      </c>
      <c r="K199" s="2">
        <v>36.799999999999997</v>
      </c>
      <c r="L199">
        <v>15</v>
      </c>
      <c r="M199">
        <f t="shared" si="3"/>
        <v>552</v>
      </c>
    </row>
    <row r="200" spans="1:13">
      <c r="A200" t="s">
        <v>143</v>
      </c>
      <c r="B200" t="s">
        <v>144</v>
      </c>
      <c r="C200" s="1">
        <v>39718</v>
      </c>
      <c r="D200" t="s">
        <v>133</v>
      </c>
      <c r="E200" t="s">
        <v>21</v>
      </c>
      <c r="F200" t="s">
        <v>134</v>
      </c>
      <c r="G200" t="s">
        <v>17</v>
      </c>
      <c r="H200" t="s">
        <v>145</v>
      </c>
      <c r="J200" t="s">
        <v>146</v>
      </c>
      <c r="K200" s="2">
        <v>7.7</v>
      </c>
      <c r="L200">
        <v>10</v>
      </c>
      <c r="M200">
        <f t="shared" si="3"/>
        <v>77</v>
      </c>
    </row>
    <row r="201" spans="1:13">
      <c r="A201" t="s">
        <v>143</v>
      </c>
      <c r="B201" t="s">
        <v>144</v>
      </c>
      <c r="C201" s="1">
        <v>39726</v>
      </c>
      <c r="D201" t="s">
        <v>62</v>
      </c>
      <c r="E201" t="s">
        <v>15</v>
      </c>
      <c r="F201" t="s">
        <v>63</v>
      </c>
      <c r="G201" t="s">
        <v>17</v>
      </c>
      <c r="H201" t="s">
        <v>145</v>
      </c>
      <c r="J201" t="s">
        <v>146</v>
      </c>
      <c r="K201" s="2">
        <v>30.4</v>
      </c>
      <c r="L201">
        <v>20</v>
      </c>
      <c r="M201">
        <f t="shared" si="3"/>
        <v>608</v>
      </c>
    </row>
    <row r="202" spans="1:13">
      <c r="A202" t="s">
        <v>143</v>
      </c>
      <c r="B202" t="s">
        <v>144</v>
      </c>
      <c r="C202" s="1">
        <v>39726</v>
      </c>
      <c r="D202" t="s">
        <v>48</v>
      </c>
      <c r="E202" t="s">
        <v>15</v>
      </c>
      <c r="F202" t="s">
        <v>22</v>
      </c>
      <c r="G202" t="s">
        <v>17</v>
      </c>
      <c r="H202" t="s">
        <v>145</v>
      </c>
      <c r="J202" t="s">
        <v>146</v>
      </c>
      <c r="K202" s="2">
        <v>31.2</v>
      </c>
      <c r="L202">
        <v>36</v>
      </c>
      <c r="M202">
        <f t="shared" si="3"/>
        <v>1123.2</v>
      </c>
    </row>
    <row r="203" spans="1:13">
      <c r="A203" t="s">
        <v>143</v>
      </c>
      <c r="B203" t="s">
        <v>144</v>
      </c>
      <c r="C203" s="1">
        <v>39574</v>
      </c>
      <c r="D203" t="s">
        <v>152</v>
      </c>
      <c r="E203" t="s">
        <v>21</v>
      </c>
      <c r="F203" t="s">
        <v>27</v>
      </c>
      <c r="G203" t="s">
        <v>39</v>
      </c>
      <c r="H203" t="s">
        <v>145</v>
      </c>
      <c r="J203" t="s">
        <v>146</v>
      </c>
      <c r="K203" s="2">
        <v>17</v>
      </c>
      <c r="L203">
        <v>1</v>
      </c>
      <c r="M203">
        <f t="shared" si="3"/>
        <v>17</v>
      </c>
    </row>
    <row r="204" spans="1:13">
      <c r="A204" t="s">
        <v>143</v>
      </c>
      <c r="B204" t="s">
        <v>144</v>
      </c>
      <c r="C204" s="1">
        <v>39574</v>
      </c>
      <c r="D204" t="s">
        <v>130</v>
      </c>
      <c r="E204" t="s">
        <v>21</v>
      </c>
      <c r="F204" t="s">
        <v>118</v>
      </c>
      <c r="G204" t="s">
        <v>39</v>
      </c>
      <c r="H204" t="s">
        <v>145</v>
      </c>
      <c r="J204" t="s">
        <v>146</v>
      </c>
      <c r="K204" s="2">
        <v>9</v>
      </c>
      <c r="L204">
        <v>2</v>
      </c>
      <c r="M204">
        <f t="shared" si="3"/>
        <v>18</v>
      </c>
    </row>
    <row r="205" spans="1:13">
      <c r="A205" t="s">
        <v>143</v>
      </c>
      <c r="B205" t="s">
        <v>144</v>
      </c>
      <c r="C205" s="1">
        <v>39454</v>
      </c>
      <c r="D205" t="s">
        <v>62</v>
      </c>
      <c r="E205" t="s">
        <v>15</v>
      </c>
      <c r="F205" t="s">
        <v>63</v>
      </c>
      <c r="G205" t="s">
        <v>39</v>
      </c>
      <c r="H205" t="s">
        <v>145</v>
      </c>
      <c r="J205" t="s">
        <v>146</v>
      </c>
      <c r="K205" s="2">
        <v>38</v>
      </c>
      <c r="L205">
        <v>30</v>
      </c>
      <c r="M205">
        <f t="shared" si="3"/>
        <v>1140</v>
      </c>
    </row>
    <row r="206" spans="1:13">
      <c r="A206" t="s">
        <v>143</v>
      </c>
      <c r="B206" t="s">
        <v>144</v>
      </c>
      <c r="C206" s="1">
        <v>39662</v>
      </c>
      <c r="D206" t="s">
        <v>137</v>
      </c>
      <c r="E206" t="s">
        <v>89</v>
      </c>
      <c r="F206" t="s">
        <v>76</v>
      </c>
      <c r="G206" t="s">
        <v>17</v>
      </c>
      <c r="H206" t="s">
        <v>145</v>
      </c>
      <c r="J206" t="s">
        <v>146</v>
      </c>
      <c r="K206" s="2">
        <v>10</v>
      </c>
      <c r="L206">
        <v>40</v>
      </c>
      <c r="M206">
        <f t="shared" si="3"/>
        <v>400</v>
      </c>
    </row>
    <row r="207" spans="1:13">
      <c r="A207" t="s">
        <v>143</v>
      </c>
      <c r="B207" t="s">
        <v>144</v>
      </c>
      <c r="C207" s="1">
        <v>39690</v>
      </c>
      <c r="D207" t="s">
        <v>111</v>
      </c>
      <c r="E207" t="s">
        <v>24</v>
      </c>
      <c r="F207" t="s">
        <v>37</v>
      </c>
      <c r="G207" t="s">
        <v>17</v>
      </c>
      <c r="H207" t="s">
        <v>145</v>
      </c>
      <c r="J207" t="s">
        <v>146</v>
      </c>
      <c r="K207" s="2">
        <v>14.4</v>
      </c>
      <c r="L207">
        <v>18</v>
      </c>
      <c r="M207">
        <f t="shared" si="3"/>
        <v>259.2</v>
      </c>
    </row>
    <row r="208" spans="1:13">
      <c r="A208" t="s">
        <v>143</v>
      </c>
      <c r="B208" t="s">
        <v>144</v>
      </c>
      <c r="C208" s="1">
        <v>39690</v>
      </c>
      <c r="D208" t="s">
        <v>71</v>
      </c>
      <c r="E208" t="s">
        <v>24</v>
      </c>
      <c r="F208" t="s">
        <v>51</v>
      </c>
      <c r="G208" t="s">
        <v>17</v>
      </c>
      <c r="H208" t="s">
        <v>145</v>
      </c>
      <c r="J208" t="s">
        <v>146</v>
      </c>
      <c r="K208" s="2">
        <v>6.2</v>
      </c>
      <c r="L208">
        <v>6</v>
      </c>
      <c r="M208">
        <f t="shared" si="3"/>
        <v>37.200000000000003</v>
      </c>
    </row>
    <row r="209" spans="1:13">
      <c r="A209" t="s">
        <v>143</v>
      </c>
      <c r="B209" t="s">
        <v>144</v>
      </c>
      <c r="C209" s="1">
        <v>39574</v>
      </c>
      <c r="D209" t="s">
        <v>136</v>
      </c>
      <c r="E209" t="s">
        <v>21</v>
      </c>
      <c r="F209" t="s">
        <v>35</v>
      </c>
      <c r="G209" t="s">
        <v>39</v>
      </c>
      <c r="H209" t="s">
        <v>145</v>
      </c>
      <c r="J209" t="s">
        <v>146</v>
      </c>
      <c r="K209" s="2">
        <v>81</v>
      </c>
      <c r="L209">
        <v>1</v>
      </c>
      <c r="M209">
        <f t="shared" si="3"/>
        <v>81</v>
      </c>
    </row>
    <row r="210" spans="1:13">
      <c r="A210" t="s">
        <v>143</v>
      </c>
      <c r="B210" t="s">
        <v>144</v>
      </c>
      <c r="C210" s="1">
        <v>39574</v>
      </c>
      <c r="D210" t="s">
        <v>20</v>
      </c>
      <c r="E210" t="s">
        <v>21</v>
      </c>
      <c r="F210" t="s">
        <v>22</v>
      </c>
      <c r="G210" t="s">
        <v>39</v>
      </c>
      <c r="H210" t="s">
        <v>145</v>
      </c>
      <c r="J210" t="s">
        <v>146</v>
      </c>
      <c r="K210" s="2">
        <v>17.45</v>
      </c>
      <c r="L210">
        <v>2</v>
      </c>
      <c r="M210">
        <f t="shared" si="3"/>
        <v>34.9</v>
      </c>
    </row>
    <row r="211" spans="1:13">
      <c r="A211" t="s">
        <v>143</v>
      </c>
      <c r="B211" t="s">
        <v>144</v>
      </c>
      <c r="C211" s="1">
        <v>39974</v>
      </c>
      <c r="D211" t="s">
        <v>137</v>
      </c>
      <c r="E211" t="s">
        <v>24</v>
      </c>
      <c r="F211" t="s">
        <v>76</v>
      </c>
      <c r="G211" t="s">
        <v>17</v>
      </c>
      <c r="H211" t="s">
        <v>145</v>
      </c>
      <c r="J211" t="s">
        <v>146</v>
      </c>
      <c r="K211" s="2">
        <v>12.5</v>
      </c>
      <c r="L211">
        <v>6</v>
      </c>
      <c r="M211">
        <f t="shared" si="3"/>
        <v>75</v>
      </c>
    </row>
    <row r="212" spans="1:13">
      <c r="A212" t="s">
        <v>143</v>
      </c>
      <c r="B212" t="s">
        <v>144</v>
      </c>
      <c r="C212" s="1">
        <v>39574</v>
      </c>
      <c r="D212" t="s">
        <v>153</v>
      </c>
      <c r="E212" t="s">
        <v>21</v>
      </c>
      <c r="F212" t="s">
        <v>125</v>
      </c>
      <c r="G212" t="s">
        <v>39</v>
      </c>
      <c r="H212" t="s">
        <v>145</v>
      </c>
      <c r="J212" t="s">
        <v>146</v>
      </c>
      <c r="K212" s="2">
        <v>23.25</v>
      </c>
      <c r="L212">
        <v>1</v>
      </c>
      <c r="M212">
        <f t="shared" si="3"/>
        <v>23.25</v>
      </c>
    </row>
    <row r="213" spans="1:13">
      <c r="A213" t="s">
        <v>143</v>
      </c>
      <c r="B213" t="s">
        <v>144</v>
      </c>
      <c r="C213" s="1">
        <v>39574</v>
      </c>
      <c r="D213" t="s">
        <v>124</v>
      </c>
      <c r="E213" t="s">
        <v>21</v>
      </c>
      <c r="F213" t="s">
        <v>125</v>
      </c>
      <c r="G213" t="s">
        <v>39</v>
      </c>
      <c r="H213" t="s">
        <v>145</v>
      </c>
      <c r="J213" t="s">
        <v>146</v>
      </c>
      <c r="K213" s="2">
        <v>6</v>
      </c>
      <c r="L213">
        <v>4</v>
      </c>
      <c r="M213">
        <f t="shared" si="3"/>
        <v>24</v>
      </c>
    </row>
    <row r="214" spans="1:13">
      <c r="A214" t="s">
        <v>143</v>
      </c>
      <c r="B214" t="s">
        <v>144</v>
      </c>
      <c r="C214" s="1">
        <v>39574</v>
      </c>
      <c r="D214" t="s">
        <v>154</v>
      </c>
      <c r="E214" t="s">
        <v>21</v>
      </c>
      <c r="F214" t="s">
        <v>132</v>
      </c>
      <c r="G214" t="s">
        <v>39</v>
      </c>
      <c r="H214" t="s">
        <v>145</v>
      </c>
      <c r="J214" t="s">
        <v>146</v>
      </c>
      <c r="K214" s="2">
        <v>38</v>
      </c>
      <c r="L214">
        <v>2</v>
      </c>
      <c r="M214">
        <f t="shared" si="3"/>
        <v>76</v>
      </c>
    </row>
    <row r="215" spans="1:13">
      <c r="A215" t="s">
        <v>143</v>
      </c>
      <c r="B215" t="s">
        <v>144</v>
      </c>
      <c r="C215" s="1">
        <v>39574</v>
      </c>
      <c r="D215" t="s">
        <v>36</v>
      </c>
      <c r="E215" t="s">
        <v>21</v>
      </c>
      <c r="F215" t="s">
        <v>37</v>
      </c>
      <c r="G215" t="s">
        <v>39</v>
      </c>
      <c r="H215" t="s">
        <v>145</v>
      </c>
      <c r="J215" t="s">
        <v>146</v>
      </c>
      <c r="K215" s="2">
        <v>19</v>
      </c>
      <c r="L215">
        <v>24</v>
      </c>
      <c r="M215">
        <f t="shared" si="3"/>
        <v>456</v>
      </c>
    </row>
    <row r="216" spans="1:13">
      <c r="A216" t="s">
        <v>143</v>
      </c>
      <c r="B216" t="s">
        <v>144</v>
      </c>
      <c r="C216" s="1">
        <v>39690</v>
      </c>
      <c r="D216" t="s">
        <v>86</v>
      </c>
      <c r="E216" t="s">
        <v>24</v>
      </c>
      <c r="F216" t="s">
        <v>54</v>
      </c>
      <c r="G216" t="s">
        <v>17</v>
      </c>
      <c r="H216" t="s">
        <v>145</v>
      </c>
      <c r="J216" t="s">
        <v>146</v>
      </c>
      <c r="K216" s="2">
        <v>27.2</v>
      </c>
      <c r="L216">
        <v>21</v>
      </c>
      <c r="M216">
        <f t="shared" si="3"/>
        <v>571.19999999999993</v>
      </c>
    </row>
    <row r="217" spans="1:13">
      <c r="A217" t="s">
        <v>143</v>
      </c>
      <c r="B217" t="s">
        <v>144</v>
      </c>
      <c r="C217" s="1">
        <v>39891</v>
      </c>
      <c r="D217" t="s">
        <v>147</v>
      </c>
      <c r="E217" t="s">
        <v>15</v>
      </c>
      <c r="F217" t="s">
        <v>51</v>
      </c>
      <c r="G217" t="s">
        <v>17</v>
      </c>
      <c r="H217" t="s">
        <v>145</v>
      </c>
      <c r="J217" t="s">
        <v>146</v>
      </c>
      <c r="K217" s="2">
        <v>26.6</v>
      </c>
      <c r="L217">
        <v>30</v>
      </c>
      <c r="M217">
        <f t="shared" si="3"/>
        <v>798</v>
      </c>
    </row>
    <row r="218" spans="1:13">
      <c r="A218" t="s">
        <v>143</v>
      </c>
      <c r="B218" t="s">
        <v>144</v>
      </c>
      <c r="C218" s="1">
        <v>39574</v>
      </c>
      <c r="D218" t="s">
        <v>102</v>
      </c>
      <c r="E218" t="s">
        <v>21</v>
      </c>
      <c r="F218" t="s">
        <v>47</v>
      </c>
      <c r="G218" t="s">
        <v>39</v>
      </c>
      <c r="H218" t="s">
        <v>145</v>
      </c>
      <c r="J218" t="s">
        <v>146</v>
      </c>
      <c r="K218" s="2">
        <v>31</v>
      </c>
      <c r="L218">
        <v>1</v>
      </c>
      <c r="M218">
        <f t="shared" si="3"/>
        <v>31</v>
      </c>
    </row>
    <row r="219" spans="1:13">
      <c r="A219" t="s">
        <v>143</v>
      </c>
      <c r="B219" t="s">
        <v>144</v>
      </c>
      <c r="C219" s="1">
        <v>39574</v>
      </c>
      <c r="D219" t="s">
        <v>23</v>
      </c>
      <c r="E219" t="s">
        <v>21</v>
      </c>
      <c r="F219" t="s">
        <v>25</v>
      </c>
      <c r="G219" t="s">
        <v>39</v>
      </c>
      <c r="H219" t="s">
        <v>145</v>
      </c>
      <c r="J219" t="s">
        <v>146</v>
      </c>
      <c r="K219" s="2">
        <v>40</v>
      </c>
      <c r="L219">
        <v>2</v>
      </c>
      <c r="M219">
        <f t="shared" si="3"/>
        <v>80</v>
      </c>
    </row>
    <row r="220" spans="1:13">
      <c r="A220" t="s">
        <v>143</v>
      </c>
      <c r="B220" t="s">
        <v>144</v>
      </c>
      <c r="C220" s="1">
        <v>39574</v>
      </c>
      <c r="D220" t="s">
        <v>87</v>
      </c>
      <c r="E220" t="s">
        <v>21</v>
      </c>
      <c r="F220" t="s">
        <v>25</v>
      </c>
      <c r="G220" t="s">
        <v>39</v>
      </c>
      <c r="H220" t="s">
        <v>145</v>
      </c>
      <c r="J220" t="s">
        <v>146</v>
      </c>
      <c r="K220" s="2">
        <v>30</v>
      </c>
      <c r="L220">
        <v>1</v>
      </c>
      <c r="M220">
        <f t="shared" si="3"/>
        <v>30</v>
      </c>
    </row>
    <row r="221" spans="1:13">
      <c r="A221" t="s">
        <v>143</v>
      </c>
      <c r="B221" t="s">
        <v>144</v>
      </c>
      <c r="C221" s="1">
        <v>39574</v>
      </c>
      <c r="D221" t="s">
        <v>155</v>
      </c>
      <c r="E221" t="s">
        <v>21</v>
      </c>
      <c r="F221" t="s">
        <v>25</v>
      </c>
      <c r="G221" t="s">
        <v>39</v>
      </c>
      <c r="H221" t="s">
        <v>145</v>
      </c>
      <c r="J221" t="s">
        <v>146</v>
      </c>
      <c r="K221" s="2">
        <v>25</v>
      </c>
      <c r="L221">
        <v>1</v>
      </c>
      <c r="M221">
        <f t="shared" si="3"/>
        <v>25</v>
      </c>
    </row>
    <row r="222" spans="1:13">
      <c r="A222" t="s">
        <v>143</v>
      </c>
      <c r="B222" t="s">
        <v>144</v>
      </c>
      <c r="C222" s="1">
        <v>39974</v>
      </c>
      <c r="D222" t="s">
        <v>48</v>
      </c>
      <c r="E222" t="s">
        <v>24</v>
      </c>
      <c r="F222" t="s">
        <v>22</v>
      </c>
      <c r="G222" t="s">
        <v>17</v>
      </c>
      <c r="H222" t="s">
        <v>145</v>
      </c>
      <c r="J222" t="s">
        <v>146</v>
      </c>
      <c r="K222" s="2">
        <v>39</v>
      </c>
      <c r="L222">
        <v>16</v>
      </c>
      <c r="M222">
        <f t="shared" si="3"/>
        <v>624</v>
      </c>
    </row>
    <row r="223" spans="1:13">
      <c r="A223" t="s">
        <v>143</v>
      </c>
      <c r="B223" t="s">
        <v>144</v>
      </c>
      <c r="C223" s="1">
        <v>40058</v>
      </c>
      <c r="D223" t="s">
        <v>122</v>
      </c>
      <c r="E223" t="s">
        <v>66</v>
      </c>
      <c r="F223" t="s">
        <v>31</v>
      </c>
      <c r="G223" t="s">
        <v>39</v>
      </c>
      <c r="H223" t="s">
        <v>145</v>
      </c>
      <c r="J223" t="s">
        <v>146</v>
      </c>
      <c r="K223" s="2">
        <v>14</v>
      </c>
      <c r="L223">
        <v>35</v>
      </c>
      <c r="M223">
        <f t="shared" si="3"/>
        <v>490</v>
      </c>
    </row>
    <row r="224" spans="1:13">
      <c r="A224" t="s">
        <v>143</v>
      </c>
      <c r="B224" t="s">
        <v>144</v>
      </c>
      <c r="C224" s="1">
        <v>40058</v>
      </c>
      <c r="D224" t="s">
        <v>71</v>
      </c>
      <c r="E224" t="s">
        <v>66</v>
      </c>
      <c r="F224" t="s">
        <v>51</v>
      </c>
      <c r="G224" t="s">
        <v>39</v>
      </c>
      <c r="H224" t="s">
        <v>145</v>
      </c>
      <c r="J224" t="s">
        <v>146</v>
      </c>
      <c r="K224" s="2">
        <v>7.75</v>
      </c>
      <c r="L224">
        <v>18</v>
      </c>
      <c r="M224">
        <f t="shared" si="3"/>
        <v>139.5</v>
      </c>
    </row>
    <row r="225" spans="1:13">
      <c r="A225" t="s">
        <v>143</v>
      </c>
      <c r="B225" t="s">
        <v>144</v>
      </c>
      <c r="C225" s="1">
        <v>39574</v>
      </c>
      <c r="D225" t="s">
        <v>26</v>
      </c>
      <c r="E225" t="s">
        <v>21</v>
      </c>
      <c r="F225" t="s">
        <v>27</v>
      </c>
      <c r="G225" t="s">
        <v>39</v>
      </c>
      <c r="H225" t="s">
        <v>145</v>
      </c>
      <c r="J225" t="s">
        <v>146</v>
      </c>
      <c r="K225" s="2">
        <v>22</v>
      </c>
      <c r="L225">
        <v>1</v>
      </c>
      <c r="M225">
        <f t="shared" si="3"/>
        <v>22</v>
      </c>
    </row>
    <row r="226" spans="1:13">
      <c r="A226" t="s">
        <v>156</v>
      </c>
      <c r="B226" t="s">
        <v>157</v>
      </c>
      <c r="C226" s="1">
        <v>40095</v>
      </c>
      <c r="D226" t="s">
        <v>20</v>
      </c>
      <c r="E226" t="s">
        <v>53</v>
      </c>
      <c r="F226" t="s">
        <v>22</v>
      </c>
      <c r="G226" t="s">
        <v>17</v>
      </c>
      <c r="H226" t="s">
        <v>158</v>
      </c>
      <c r="I226" t="s">
        <v>159</v>
      </c>
      <c r="J226" t="s">
        <v>160</v>
      </c>
      <c r="K226" s="2">
        <v>17.45</v>
      </c>
      <c r="L226">
        <v>3</v>
      </c>
      <c r="M226">
        <f t="shared" si="3"/>
        <v>52.349999999999994</v>
      </c>
    </row>
    <row r="227" spans="1:13">
      <c r="A227" t="s">
        <v>156</v>
      </c>
      <c r="B227" t="s">
        <v>157</v>
      </c>
      <c r="C227" s="1">
        <v>39527</v>
      </c>
      <c r="D227" t="s">
        <v>43</v>
      </c>
      <c r="E227" t="s">
        <v>15</v>
      </c>
      <c r="F227" t="s">
        <v>41</v>
      </c>
      <c r="G227" t="s">
        <v>39</v>
      </c>
      <c r="H227" t="s">
        <v>158</v>
      </c>
      <c r="I227" t="s">
        <v>159</v>
      </c>
      <c r="J227" t="s">
        <v>160</v>
      </c>
      <c r="K227" s="2">
        <v>36</v>
      </c>
      <c r="L227">
        <v>10</v>
      </c>
      <c r="M227">
        <f t="shared" si="3"/>
        <v>360</v>
      </c>
    </row>
    <row r="228" spans="1:13">
      <c r="A228" t="s">
        <v>156</v>
      </c>
      <c r="B228" t="s">
        <v>157</v>
      </c>
      <c r="C228" s="1">
        <v>39527</v>
      </c>
      <c r="D228" t="s">
        <v>42</v>
      </c>
      <c r="E228" t="s">
        <v>15</v>
      </c>
      <c r="F228" t="s">
        <v>22</v>
      </c>
      <c r="G228" t="s">
        <v>39</v>
      </c>
      <c r="H228" t="s">
        <v>158</v>
      </c>
      <c r="I228" t="s">
        <v>159</v>
      </c>
      <c r="J228" t="s">
        <v>160</v>
      </c>
      <c r="K228" s="2">
        <v>62.5</v>
      </c>
      <c r="L228">
        <v>6</v>
      </c>
      <c r="M228">
        <f t="shared" si="3"/>
        <v>375</v>
      </c>
    </row>
    <row r="229" spans="1:13">
      <c r="A229" t="s">
        <v>156</v>
      </c>
      <c r="B229" t="s">
        <v>157</v>
      </c>
      <c r="C229" s="1">
        <v>39503</v>
      </c>
      <c r="D229" t="s">
        <v>71</v>
      </c>
      <c r="E229" t="s">
        <v>89</v>
      </c>
      <c r="F229" t="s">
        <v>51</v>
      </c>
      <c r="G229" t="s">
        <v>39</v>
      </c>
      <c r="H229" t="s">
        <v>158</v>
      </c>
      <c r="I229" t="s">
        <v>159</v>
      </c>
      <c r="J229" t="s">
        <v>160</v>
      </c>
      <c r="K229" s="2">
        <v>7.75</v>
      </c>
      <c r="L229">
        <v>14</v>
      </c>
      <c r="M229">
        <f t="shared" si="3"/>
        <v>108.5</v>
      </c>
    </row>
    <row r="230" spans="1:13">
      <c r="A230" t="s">
        <v>156</v>
      </c>
      <c r="B230" t="s">
        <v>157</v>
      </c>
      <c r="C230" s="1">
        <v>39560</v>
      </c>
      <c r="D230" t="s">
        <v>131</v>
      </c>
      <c r="E230" t="s">
        <v>66</v>
      </c>
      <c r="F230" t="s">
        <v>132</v>
      </c>
      <c r="G230" t="s">
        <v>39</v>
      </c>
      <c r="H230" t="s">
        <v>158</v>
      </c>
      <c r="I230" t="s">
        <v>159</v>
      </c>
      <c r="J230" t="s">
        <v>160</v>
      </c>
      <c r="K230" s="2">
        <v>21</v>
      </c>
      <c r="L230">
        <v>10</v>
      </c>
      <c r="M230">
        <f t="shared" si="3"/>
        <v>210</v>
      </c>
    </row>
    <row r="231" spans="1:13">
      <c r="A231" t="s">
        <v>156</v>
      </c>
      <c r="B231" t="s">
        <v>157</v>
      </c>
      <c r="C231" s="1">
        <v>39527</v>
      </c>
      <c r="D231" t="s">
        <v>55</v>
      </c>
      <c r="E231" t="s">
        <v>15</v>
      </c>
      <c r="F231" t="s">
        <v>56</v>
      </c>
      <c r="G231" t="s">
        <v>39</v>
      </c>
      <c r="H231" t="s">
        <v>158</v>
      </c>
      <c r="I231" t="s">
        <v>159</v>
      </c>
      <c r="J231" t="s">
        <v>160</v>
      </c>
      <c r="K231" s="2">
        <v>263.5</v>
      </c>
      <c r="L231">
        <v>5</v>
      </c>
      <c r="M231">
        <f t="shared" si="3"/>
        <v>1317.5</v>
      </c>
    </row>
    <row r="232" spans="1:13">
      <c r="A232" t="s">
        <v>161</v>
      </c>
      <c r="B232" t="s">
        <v>162</v>
      </c>
      <c r="C232" s="1">
        <v>40030</v>
      </c>
      <c r="D232" t="s">
        <v>120</v>
      </c>
      <c r="E232" t="s">
        <v>53</v>
      </c>
      <c r="F232" t="s">
        <v>33</v>
      </c>
      <c r="G232" t="s">
        <v>17</v>
      </c>
      <c r="H232" t="s">
        <v>158</v>
      </c>
      <c r="I232" t="s">
        <v>163</v>
      </c>
      <c r="J232" t="s">
        <v>164</v>
      </c>
      <c r="K232" s="2">
        <v>7</v>
      </c>
      <c r="L232">
        <v>5</v>
      </c>
      <c r="M232">
        <f t="shared" si="3"/>
        <v>35</v>
      </c>
    </row>
    <row r="233" spans="1:13">
      <c r="A233" t="s">
        <v>161</v>
      </c>
      <c r="B233" t="s">
        <v>162</v>
      </c>
      <c r="C233" s="1">
        <v>40030</v>
      </c>
      <c r="D233" t="s">
        <v>98</v>
      </c>
      <c r="E233" t="s">
        <v>53</v>
      </c>
      <c r="F233" t="s">
        <v>99</v>
      </c>
      <c r="G233" t="s">
        <v>17</v>
      </c>
      <c r="H233" t="s">
        <v>158</v>
      </c>
      <c r="I233" t="s">
        <v>163</v>
      </c>
      <c r="J233" t="s">
        <v>164</v>
      </c>
      <c r="K233" s="2">
        <v>4.5</v>
      </c>
      <c r="L233">
        <v>5</v>
      </c>
      <c r="M233">
        <f t="shared" si="3"/>
        <v>22.5</v>
      </c>
    </row>
    <row r="234" spans="1:13">
      <c r="A234" t="s">
        <v>161</v>
      </c>
      <c r="B234" t="s">
        <v>162</v>
      </c>
      <c r="C234" s="1">
        <v>39906</v>
      </c>
      <c r="D234" t="s">
        <v>49</v>
      </c>
      <c r="E234" t="s">
        <v>15</v>
      </c>
      <c r="F234" t="s">
        <v>51</v>
      </c>
      <c r="G234" t="s">
        <v>17</v>
      </c>
      <c r="H234" t="s">
        <v>158</v>
      </c>
      <c r="I234" t="s">
        <v>163</v>
      </c>
      <c r="J234" t="s">
        <v>164</v>
      </c>
      <c r="K234" s="2">
        <v>10.4</v>
      </c>
      <c r="L234">
        <v>5</v>
      </c>
      <c r="M234">
        <f t="shared" si="3"/>
        <v>52</v>
      </c>
    </row>
    <row r="235" spans="1:13">
      <c r="A235" t="s">
        <v>161</v>
      </c>
      <c r="B235" t="s">
        <v>162</v>
      </c>
      <c r="C235" s="1">
        <v>39906</v>
      </c>
      <c r="D235" t="s">
        <v>130</v>
      </c>
      <c r="E235" t="s">
        <v>15</v>
      </c>
      <c r="F235" t="s">
        <v>118</v>
      </c>
      <c r="G235" t="s">
        <v>17</v>
      </c>
      <c r="H235" t="s">
        <v>158</v>
      </c>
      <c r="I235" t="s">
        <v>163</v>
      </c>
      <c r="J235" t="s">
        <v>164</v>
      </c>
      <c r="K235" s="2">
        <v>7.2</v>
      </c>
      <c r="L235">
        <v>10</v>
      </c>
      <c r="M235">
        <f t="shared" si="3"/>
        <v>72</v>
      </c>
    </row>
    <row r="236" spans="1:13">
      <c r="A236" t="s">
        <v>161</v>
      </c>
      <c r="B236" t="s">
        <v>162</v>
      </c>
      <c r="C236" s="1">
        <v>39906</v>
      </c>
      <c r="D236" t="s">
        <v>133</v>
      </c>
      <c r="E236" t="s">
        <v>15</v>
      </c>
      <c r="F236" t="s">
        <v>134</v>
      </c>
      <c r="G236" t="s">
        <v>17</v>
      </c>
      <c r="H236" t="s">
        <v>158</v>
      </c>
      <c r="I236" t="s">
        <v>163</v>
      </c>
      <c r="J236" t="s">
        <v>164</v>
      </c>
      <c r="K236" s="2">
        <v>7.7</v>
      </c>
      <c r="L236">
        <v>20</v>
      </c>
      <c r="M236">
        <f t="shared" si="3"/>
        <v>154</v>
      </c>
    </row>
    <row r="237" spans="1:13">
      <c r="A237" t="s">
        <v>161</v>
      </c>
      <c r="B237" t="s">
        <v>162</v>
      </c>
      <c r="C237" s="1">
        <v>39448</v>
      </c>
      <c r="D237" t="s">
        <v>116</v>
      </c>
      <c r="E237" t="s">
        <v>53</v>
      </c>
      <c r="F237" t="s">
        <v>22</v>
      </c>
      <c r="G237" t="s">
        <v>39</v>
      </c>
      <c r="H237" t="s">
        <v>158</v>
      </c>
      <c r="I237" t="s">
        <v>163</v>
      </c>
      <c r="J237" t="s">
        <v>164</v>
      </c>
      <c r="K237" s="2">
        <v>15</v>
      </c>
      <c r="L237">
        <v>5</v>
      </c>
      <c r="M237">
        <f t="shared" si="3"/>
        <v>75</v>
      </c>
    </row>
    <row r="238" spans="1:13">
      <c r="A238" t="s">
        <v>161</v>
      </c>
      <c r="B238" t="s">
        <v>162</v>
      </c>
      <c r="C238" s="1">
        <v>39448</v>
      </c>
      <c r="D238" t="s">
        <v>122</v>
      </c>
      <c r="E238" t="s">
        <v>53</v>
      </c>
      <c r="F238" t="s">
        <v>31</v>
      </c>
      <c r="G238" t="s">
        <v>39</v>
      </c>
      <c r="H238" t="s">
        <v>158</v>
      </c>
      <c r="I238" t="s">
        <v>163</v>
      </c>
      <c r="J238" t="s">
        <v>164</v>
      </c>
      <c r="K238" s="2">
        <v>14</v>
      </c>
      <c r="L238">
        <v>5</v>
      </c>
      <c r="M238">
        <f t="shared" si="3"/>
        <v>70</v>
      </c>
    </row>
    <row r="239" spans="1:13">
      <c r="A239" t="s">
        <v>161</v>
      </c>
      <c r="B239" t="s">
        <v>162</v>
      </c>
      <c r="C239" s="1">
        <v>39448</v>
      </c>
      <c r="D239" t="s">
        <v>124</v>
      </c>
      <c r="E239" t="s">
        <v>53</v>
      </c>
      <c r="F239" t="s">
        <v>125</v>
      </c>
      <c r="G239" t="s">
        <v>39</v>
      </c>
      <c r="H239" t="s">
        <v>158</v>
      </c>
      <c r="I239" t="s">
        <v>163</v>
      </c>
      <c r="J239" t="s">
        <v>164</v>
      </c>
      <c r="K239" s="2">
        <v>6</v>
      </c>
      <c r="L239">
        <v>7</v>
      </c>
      <c r="M239">
        <f t="shared" si="3"/>
        <v>42</v>
      </c>
    </row>
    <row r="240" spans="1:13">
      <c r="A240" t="s">
        <v>165</v>
      </c>
      <c r="B240" t="s">
        <v>166</v>
      </c>
      <c r="C240" s="1">
        <v>40102</v>
      </c>
      <c r="D240" t="s">
        <v>148</v>
      </c>
      <c r="E240" t="s">
        <v>24</v>
      </c>
      <c r="F240" t="s">
        <v>16</v>
      </c>
      <c r="G240" t="s">
        <v>17</v>
      </c>
      <c r="H240" t="s">
        <v>167</v>
      </c>
      <c r="J240" t="s">
        <v>168</v>
      </c>
      <c r="K240" s="2">
        <v>24</v>
      </c>
      <c r="L240">
        <v>21</v>
      </c>
      <c r="M240">
        <f t="shared" si="3"/>
        <v>504</v>
      </c>
    </row>
    <row r="241" spans="1:13">
      <c r="A241" t="s">
        <v>165</v>
      </c>
      <c r="B241" t="s">
        <v>166</v>
      </c>
      <c r="C241" s="1">
        <v>39548</v>
      </c>
      <c r="D241" t="s">
        <v>137</v>
      </c>
      <c r="E241" t="s">
        <v>103</v>
      </c>
      <c r="F241" t="s">
        <v>76</v>
      </c>
      <c r="G241" t="s">
        <v>39</v>
      </c>
      <c r="H241" t="s">
        <v>167</v>
      </c>
      <c r="J241" t="s">
        <v>168</v>
      </c>
      <c r="K241" s="2">
        <v>12.5</v>
      </c>
      <c r="L241">
        <v>15</v>
      </c>
      <c r="M241">
        <f t="shared" si="3"/>
        <v>187.5</v>
      </c>
    </row>
    <row r="242" spans="1:13">
      <c r="A242" t="s">
        <v>165</v>
      </c>
      <c r="B242" t="s">
        <v>166</v>
      </c>
      <c r="C242" s="1">
        <v>40100</v>
      </c>
      <c r="D242" t="s">
        <v>36</v>
      </c>
      <c r="E242" t="s">
        <v>24</v>
      </c>
      <c r="F242" t="s">
        <v>37</v>
      </c>
      <c r="G242" t="s">
        <v>17</v>
      </c>
      <c r="H242" t="s">
        <v>167</v>
      </c>
      <c r="J242" t="s">
        <v>168</v>
      </c>
      <c r="K242" s="2">
        <v>19</v>
      </c>
      <c r="L242">
        <v>15</v>
      </c>
      <c r="M242">
        <f t="shared" si="3"/>
        <v>285</v>
      </c>
    </row>
    <row r="243" spans="1:13">
      <c r="A243" t="s">
        <v>165</v>
      </c>
      <c r="B243" t="s">
        <v>166</v>
      </c>
      <c r="C243" s="1">
        <v>39865</v>
      </c>
      <c r="D243" t="s">
        <v>116</v>
      </c>
      <c r="E243" t="s">
        <v>21</v>
      </c>
      <c r="F243" t="s">
        <v>22</v>
      </c>
      <c r="G243" t="s">
        <v>17</v>
      </c>
      <c r="H243" t="s">
        <v>167</v>
      </c>
      <c r="J243" t="s">
        <v>168</v>
      </c>
      <c r="K243" s="2">
        <v>12</v>
      </c>
      <c r="L243">
        <v>25</v>
      </c>
      <c r="M243">
        <f t="shared" si="3"/>
        <v>300</v>
      </c>
    </row>
    <row r="244" spans="1:13">
      <c r="A244" t="s">
        <v>165</v>
      </c>
      <c r="B244" t="s">
        <v>166</v>
      </c>
      <c r="C244" s="1">
        <v>39865</v>
      </c>
      <c r="D244" t="s">
        <v>100</v>
      </c>
      <c r="E244" t="s">
        <v>21</v>
      </c>
      <c r="F244" t="s">
        <v>101</v>
      </c>
      <c r="G244" t="s">
        <v>17</v>
      </c>
      <c r="H244" t="s">
        <v>167</v>
      </c>
      <c r="J244" t="s">
        <v>168</v>
      </c>
      <c r="K244" s="2">
        <v>10.199999999999999</v>
      </c>
      <c r="L244">
        <v>15</v>
      </c>
      <c r="M244">
        <f t="shared" si="3"/>
        <v>153</v>
      </c>
    </row>
    <row r="245" spans="1:13">
      <c r="A245" t="s">
        <v>165</v>
      </c>
      <c r="B245" t="s">
        <v>166</v>
      </c>
      <c r="C245" s="1">
        <v>39548</v>
      </c>
      <c r="D245" t="s">
        <v>57</v>
      </c>
      <c r="E245" t="s">
        <v>103</v>
      </c>
      <c r="F245" t="s">
        <v>58</v>
      </c>
      <c r="G245" t="s">
        <v>39</v>
      </c>
      <c r="H245" t="s">
        <v>167</v>
      </c>
      <c r="J245" t="s">
        <v>168</v>
      </c>
      <c r="K245" s="2">
        <v>19</v>
      </c>
      <c r="L245">
        <v>16</v>
      </c>
      <c r="M245">
        <f t="shared" si="3"/>
        <v>304</v>
      </c>
    </row>
    <row r="246" spans="1:13">
      <c r="A246" t="s">
        <v>165</v>
      </c>
      <c r="B246" t="s">
        <v>166</v>
      </c>
      <c r="C246" s="1">
        <v>39968</v>
      </c>
      <c r="D246" t="s">
        <v>85</v>
      </c>
      <c r="E246" t="s">
        <v>21</v>
      </c>
      <c r="F246" t="s">
        <v>33</v>
      </c>
      <c r="G246" t="s">
        <v>17</v>
      </c>
      <c r="H246" t="s">
        <v>167</v>
      </c>
      <c r="J246" t="s">
        <v>168</v>
      </c>
      <c r="K246" s="2">
        <v>53</v>
      </c>
      <c r="L246">
        <v>20</v>
      </c>
      <c r="M246">
        <f t="shared" si="3"/>
        <v>1060</v>
      </c>
    </row>
    <row r="247" spans="1:13">
      <c r="A247" t="s">
        <v>165</v>
      </c>
      <c r="B247" t="s">
        <v>166</v>
      </c>
      <c r="C247" s="1">
        <v>39480</v>
      </c>
      <c r="D247" t="s">
        <v>44</v>
      </c>
      <c r="E247" t="s">
        <v>24</v>
      </c>
      <c r="F247" t="s">
        <v>45</v>
      </c>
      <c r="G247" t="s">
        <v>39</v>
      </c>
      <c r="H247" t="s">
        <v>167</v>
      </c>
      <c r="J247" t="s">
        <v>168</v>
      </c>
      <c r="K247" s="2">
        <v>18</v>
      </c>
      <c r="L247">
        <v>4</v>
      </c>
      <c r="M247">
        <f t="shared" si="3"/>
        <v>72</v>
      </c>
    </row>
    <row r="248" spans="1:13">
      <c r="A248" t="s">
        <v>165</v>
      </c>
      <c r="B248" t="s">
        <v>166</v>
      </c>
      <c r="C248" s="1">
        <v>40103</v>
      </c>
      <c r="D248" t="s">
        <v>70</v>
      </c>
      <c r="E248" t="s">
        <v>21</v>
      </c>
      <c r="F248" t="s">
        <v>61</v>
      </c>
      <c r="G248" t="s">
        <v>17</v>
      </c>
      <c r="H248" t="s">
        <v>167</v>
      </c>
      <c r="J248" t="s">
        <v>168</v>
      </c>
      <c r="K248" s="2">
        <v>12</v>
      </c>
      <c r="L248">
        <v>28</v>
      </c>
      <c r="M248">
        <f t="shared" si="3"/>
        <v>336</v>
      </c>
    </row>
    <row r="249" spans="1:13">
      <c r="A249" t="s">
        <v>165</v>
      </c>
      <c r="B249" t="s">
        <v>166</v>
      </c>
      <c r="C249" s="1">
        <v>39736</v>
      </c>
      <c r="D249" t="s">
        <v>98</v>
      </c>
      <c r="E249" t="s">
        <v>89</v>
      </c>
      <c r="F249" t="s">
        <v>99</v>
      </c>
      <c r="G249" t="s">
        <v>17</v>
      </c>
      <c r="H249" t="s">
        <v>167</v>
      </c>
      <c r="J249" t="s">
        <v>168</v>
      </c>
      <c r="K249" s="2">
        <v>3.6</v>
      </c>
      <c r="L249">
        <v>25</v>
      </c>
      <c r="M249">
        <f t="shared" si="3"/>
        <v>90</v>
      </c>
    </row>
    <row r="250" spans="1:13">
      <c r="A250" t="s">
        <v>165</v>
      </c>
      <c r="B250" t="s">
        <v>166</v>
      </c>
      <c r="C250" s="1">
        <v>39736</v>
      </c>
      <c r="D250" t="s">
        <v>123</v>
      </c>
      <c r="E250" t="s">
        <v>89</v>
      </c>
      <c r="F250" t="s">
        <v>63</v>
      </c>
      <c r="G250" t="s">
        <v>17</v>
      </c>
      <c r="H250" t="s">
        <v>167</v>
      </c>
      <c r="J250" t="s">
        <v>168</v>
      </c>
      <c r="K250" s="2">
        <v>15.6</v>
      </c>
      <c r="L250">
        <v>25</v>
      </c>
      <c r="M250">
        <f t="shared" si="3"/>
        <v>390</v>
      </c>
    </row>
    <row r="251" spans="1:13">
      <c r="A251" t="s">
        <v>165</v>
      </c>
      <c r="B251" t="s">
        <v>166</v>
      </c>
      <c r="C251" s="1">
        <v>39707</v>
      </c>
      <c r="D251" t="s">
        <v>62</v>
      </c>
      <c r="E251" t="s">
        <v>67</v>
      </c>
      <c r="F251" t="s">
        <v>63</v>
      </c>
      <c r="G251" t="s">
        <v>17</v>
      </c>
      <c r="H251" t="s">
        <v>167</v>
      </c>
      <c r="J251" t="s">
        <v>168</v>
      </c>
      <c r="K251" s="2">
        <v>30.4</v>
      </c>
      <c r="L251">
        <v>20</v>
      </c>
      <c r="M251">
        <f t="shared" si="3"/>
        <v>608</v>
      </c>
    </row>
    <row r="252" spans="1:13">
      <c r="A252" t="s">
        <v>165</v>
      </c>
      <c r="B252" t="s">
        <v>166</v>
      </c>
      <c r="C252" s="1">
        <v>39707</v>
      </c>
      <c r="D252" t="s">
        <v>169</v>
      </c>
      <c r="E252" t="s">
        <v>67</v>
      </c>
      <c r="F252" t="s">
        <v>97</v>
      </c>
      <c r="G252" t="s">
        <v>17</v>
      </c>
      <c r="H252" t="s">
        <v>167</v>
      </c>
      <c r="J252" t="s">
        <v>168</v>
      </c>
      <c r="K252" s="2">
        <v>13</v>
      </c>
      <c r="L252">
        <v>15</v>
      </c>
      <c r="M252">
        <f t="shared" si="3"/>
        <v>195</v>
      </c>
    </row>
    <row r="253" spans="1:13">
      <c r="A253" t="s">
        <v>165</v>
      </c>
      <c r="B253" t="s">
        <v>166</v>
      </c>
      <c r="C253" s="1">
        <v>39707</v>
      </c>
      <c r="D253" t="s">
        <v>124</v>
      </c>
      <c r="E253" t="s">
        <v>67</v>
      </c>
      <c r="F253" t="s">
        <v>125</v>
      </c>
      <c r="G253" t="s">
        <v>17</v>
      </c>
      <c r="H253" t="s">
        <v>167</v>
      </c>
      <c r="J253" t="s">
        <v>168</v>
      </c>
      <c r="K253" s="2">
        <v>4.8</v>
      </c>
      <c r="L253">
        <v>20</v>
      </c>
      <c r="M253">
        <f t="shared" si="3"/>
        <v>96</v>
      </c>
    </row>
    <row r="254" spans="1:13">
      <c r="A254" t="s">
        <v>165</v>
      </c>
      <c r="B254" t="s">
        <v>166</v>
      </c>
      <c r="C254" s="1">
        <v>39523</v>
      </c>
      <c r="D254" t="s">
        <v>137</v>
      </c>
      <c r="E254" t="s">
        <v>103</v>
      </c>
      <c r="F254" t="s">
        <v>76</v>
      </c>
      <c r="G254" t="s">
        <v>39</v>
      </c>
      <c r="H254" t="s">
        <v>167</v>
      </c>
      <c r="J254" t="s">
        <v>168</v>
      </c>
      <c r="K254" s="2">
        <v>12.5</v>
      </c>
      <c r="L254">
        <v>50</v>
      </c>
      <c r="M254">
        <f t="shared" si="3"/>
        <v>625</v>
      </c>
    </row>
    <row r="255" spans="1:13">
      <c r="A255" t="s">
        <v>165</v>
      </c>
      <c r="B255" t="s">
        <v>166</v>
      </c>
      <c r="C255" s="1">
        <v>39523</v>
      </c>
      <c r="D255" t="s">
        <v>136</v>
      </c>
      <c r="E255" t="s">
        <v>103</v>
      </c>
      <c r="F255" t="s">
        <v>35</v>
      </c>
      <c r="G255" t="s">
        <v>39</v>
      </c>
      <c r="H255" t="s">
        <v>167</v>
      </c>
      <c r="J255" t="s">
        <v>168</v>
      </c>
      <c r="K255" s="2">
        <v>81</v>
      </c>
      <c r="L255">
        <v>50</v>
      </c>
      <c r="M255">
        <f t="shared" si="3"/>
        <v>4050</v>
      </c>
    </row>
    <row r="256" spans="1:13">
      <c r="A256" t="s">
        <v>165</v>
      </c>
      <c r="B256" t="s">
        <v>166</v>
      </c>
      <c r="C256" s="1">
        <v>39968</v>
      </c>
      <c r="D256" t="s">
        <v>170</v>
      </c>
      <c r="E256" t="s">
        <v>21</v>
      </c>
      <c r="F256" t="s">
        <v>101</v>
      </c>
      <c r="G256" t="s">
        <v>17</v>
      </c>
      <c r="H256" t="s">
        <v>167</v>
      </c>
      <c r="J256" t="s">
        <v>168</v>
      </c>
      <c r="K256" s="2">
        <v>9.5</v>
      </c>
      <c r="L256">
        <v>25</v>
      </c>
      <c r="M256">
        <f t="shared" si="3"/>
        <v>237.5</v>
      </c>
    </row>
    <row r="257" spans="1:13">
      <c r="A257" t="s">
        <v>165</v>
      </c>
      <c r="B257" t="s">
        <v>166</v>
      </c>
      <c r="C257" s="1">
        <v>40064</v>
      </c>
      <c r="D257" t="s">
        <v>121</v>
      </c>
      <c r="E257" t="s">
        <v>15</v>
      </c>
      <c r="F257" t="s">
        <v>41</v>
      </c>
      <c r="G257" t="s">
        <v>39</v>
      </c>
      <c r="H257" t="s">
        <v>167</v>
      </c>
      <c r="J257" t="s">
        <v>168</v>
      </c>
      <c r="K257" s="2">
        <v>21.5</v>
      </c>
      <c r="L257">
        <v>12</v>
      </c>
      <c r="M257">
        <f t="shared" si="3"/>
        <v>258</v>
      </c>
    </row>
    <row r="258" spans="1:13">
      <c r="A258" t="s">
        <v>165</v>
      </c>
      <c r="B258" t="s">
        <v>166</v>
      </c>
      <c r="C258" s="1">
        <v>39968</v>
      </c>
      <c r="D258" t="s">
        <v>32</v>
      </c>
      <c r="E258" t="s">
        <v>21</v>
      </c>
      <c r="F258" t="s">
        <v>33</v>
      </c>
      <c r="G258" t="s">
        <v>17</v>
      </c>
      <c r="H258" t="s">
        <v>167</v>
      </c>
      <c r="J258" t="s">
        <v>168</v>
      </c>
      <c r="K258" s="2">
        <v>32.799999999999997</v>
      </c>
      <c r="L258">
        <v>18</v>
      </c>
      <c r="M258">
        <f t="shared" si="3"/>
        <v>590.4</v>
      </c>
    </row>
    <row r="259" spans="1:13">
      <c r="A259" t="s">
        <v>165</v>
      </c>
      <c r="B259" t="s">
        <v>166</v>
      </c>
      <c r="C259" s="1">
        <v>40064</v>
      </c>
      <c r="D259" t="s">
        <v>137</v>
      </c>
      <c r="E259" t="s">
        <v>15</v>
      </c>
      <c r="F259" t="s">
        <v>76</v>
      </c>
      <c r="G259" t="s">
        <v>39</v>
      </c>
      <c r="H259" t="s">
        <v>167</v>
      </c>
      <c r="J259" t="s">
        <v>168</v>
      </c>
      <c r="K259" s="2">
        <v>12.5</v>
      </c>
      <c r="L259">
        <v>50</v>
      </c>
      <c r="M259">
        <f t="shared" ref="M259:M322" si="4">K259*L259</f>
        <v>625</v>
      </c>
    </row>
    <row r="260" spans="1:13">
      <c r="A260" t="s">
        <v>165</v>
      </c>
      <c r="B260" t="s">
        <v>166</v>
      </c>
      <c r="C260" s="1">
        <v>40102</v>
      </c>
      <c r="D260" t="s">
        <v>123</v>
      </c>
      <c r="E260" t="s">
        <v>24</v>
      </c>
      <c r="F260" t="s">
        <v>63</v>
      </c>
      <c r="G260" t="s">
        <v>17</v>
      </c>
      <c r="H260" t="s">
        <v>167</v>
      </c>
      <c r="J260" t="s">
        <v>168</v>
      </c>
      <c r="K260" s="2">
        <v>19.5</v>
      </c>
      <c r="L260">
        <v>40</v>
      </c>
      <c r="M260">
        <f t="shared" si="4"/>
        <v>780</v>
      </c>
    </row>
    <row r="261" spans="1:13">
      <c r="A261" t="s">
        <v>165</v>
      </c>
      <c r="B261" t="s">
        <v>166</v>
      </c>
      <c r="C261" s="1">
        <v>40064</v>
      </c>
      <c r="D261" t="s">
        <v>117</v>
      </c>
      <c r="E261" t="s">
        <v>15</v>
      </c>
      <c r="F261" t="s">
        <v>118</v>
      </c>
      <c r="G261" t="s">
        <v>39</v>
      </c>
      <c r="H261" t="s">
        <v>167</v>
      </c>
      <c r="J261" t="s">
        <v>168</v>
      </c>
      <c r="K261" s="2">
        <v>21</v>
      </c>
      <c r="L261">
        <v>4</v>
      </c>
      <c r="M261">
        <f t="shared" si="4"/>
        <v>84</v>
      </c>
    </row>
    <row r="262" spans="1:13">
      <c r="A262" t="s">
        <v>165</v>
      </c>
      <c r="B262" t="s">
        <v>166</v>
      </c>
      <c r="C262" s="1">
        <v>39968</v>
      </c>
      <c r="D262" t="s">
        <v>120</v>
      </c>
      <c r="E262" t="s">
        <v>21</v>
      </c>
      <c r="F262" t="s">
        <v>33</v>
      </c>
      <c r="G262" t="s">
        <v>17</v>
      </c>
      <c r="H262" t="s">
        <v>167</v>
      </c>
      <c r="J262" t="s">
        <v>168</v>
      </c>
      <c r="K262" s="2">
        <v>7</v>
      </c>
      <c r="L262">
        <v>30</v>
      </c>
      <c r="M262">
        <f t="shared" si="4"/>
        <v>210</v>
      </c>
    </row>
    <row r="263" spans="1:13">
      <c r="A263" t="s">
        <v>165</v>
      </c>
      <c r="B263" t="s">
        <v>166</v>
      </c>
      <c r="C263" s="1">
        <v>39968</v>
      </c>
      <c r="D263" t="s">
        <v>65</v>
      </c>
      <c r="E263" t="s">
        <v>21</v>
      </c>
      <c r="F263" t="s">
        <v>58</v>
      </c>
      <c r="G263" t="s">
        <v>17</v>
      </c>
      <c r="H263" t="s">
        <v>167</v>
      </c>
      <c r="J263" t="s">
        <v>168</v>
      </c>
      <c r="K263" s="2">
        <v>15</v>
      </c>
      <c r="L263">
        <v>3</v>
      </c>
      <c r="M263">
        <f t="shared" si="4"/>
        <v>45</v>
      </c>
    </row>
    <row r="264" spans="1:13">
      <c r="A264" t="s">
        <v>165</v>
      </c>
      <c r="B264" t="s">
        <v>166</v>
      </c>
      <c r="C264" s="1">
        <v>39480</v>
      </c>
      <c r="D264" t="s">
        <v>171</v>
      </c>
      <c r="E264" t="s">
        <v>24</v>
      </c>
      <c r="F264" t="s">
        <v>45</v>
      </c>
      <c r="G264" t="s">
        <v>39</v>
      </c>
      <c r="H264" t="s">
        <v>167</v>
      </c>
      <c r="J264" t="s">
        <v>168</v>
      </c>
      <c r="K264" s="2">
        <v>14</v>
      </c>
      <c r="L264">
        <v>15</v>
      </c>
      <c r="M264">
        <f t="shared" si="4"/>
        <v>210</v>
      </c>
    </row>
    <row r="265" spans="1:13">
      <c r="A265" t="s">
        <v>165</v>
      </c>
      <c r="B265" t="s">
        <v>166</v>
      </c>
      <c r="C265" s="1">
        <v>40080</v>
      </c>
      <c r="D265" t="s">
        <v>133</v>
      </c>
      <c r="E265" t="s">
        <v>15</v>
      </c>
      <c r="F265" t="s">
        <v>134</v>
      </c>
      <c r="G265" t="s">
        <v>39</v>
      </c>
      <c r="H265" t="s">
        <v>167</v>
      </c>
      <c r="J265" t="s">
        <v>168</v>
      </c>
      <c r="K265" s="2">
        <v>9.65</v>
      </c>
      <c r="L265">
        <v>14</v>
      </c>
      <c r="M265">
        <f t="shared" si="4"/>
        <v>135.1</v>
      </c>
    </row>
    <row r="266" spans="1:13">
      <c r="A266" t="s">
        <v>165</v>
      </c>
      <c r="B266" t="s">
        <v>166</v>
      </c>
      <c r="C266" s="1">
        <v>40080</v>
      </c>
      <c r="D266" t="s">
        <v>120</v>
      </c>
      <c r="E266" t="s">
        <v>15</v>
      </c>
      <c r="F266" t="s">
        <v>33</v>
      </c>
      <c r="G266" t="s">
        <v>39</v>
      </c>
      <c r="H266" t="s">
        <v>167</v>
      </c>
      <c r="J266" t="s">
        <v>168</v>
      </c>
      <c r="K266" s="2">
        <v>7</v>
      </c>
      <c r="L266">
        <v>8</v>
      </c>
      <c r="M266">
        <f t="shared" si="4"/>
        <v>56</v>
      </c>
    </row>
    <row r="267" spans="1:13">
      <c r="A267" t="s">
        <v>165</v>
      </c>
      <c r="B267" t="s">
        <v>166</v>
      </c>
      <c r="C267" s="1">
        <v>39510</v>
      </c>
      <c r="D267" t="s">
        <v>169</v>
      </c>
      <c r="E267" t="s">
        <v>24</v>
      </c>
      <c r="F267" t="s">
        <v>97</v>
      </c>
      <c r="G267" t="s">
        <v>39</v>
      </c>
      <c r="H267" t="s">
        <v>167</v>
      </c>
      <c r="J267" t="s">
        <v>168</v>
      </c>
      <c r="K267" s="2">
        <v>16.25</v>
      </c>
      <c r="L267">
        <v>24</v>
      </c>
      <c r="M267">
        <f t="shared" si="4"/>
        <v>390</v>
      </c>
    </row>
    <row r="268" spans="1:13">
      <c r="A268" t="s">
        <v>165</v>
      </c>
      <c r="B268" t="s">
        <v>166</v>
      </c>
      <c r="C268" s="1">
        <v>40102</v>
      </c>
      <c r="D268" t="s">
        <v>116</v>
      </c>
      <c r="E268" t="s">
        <v>24</v>
      </c>
      <c r="F268" t="s">
        <v>22</v>
      </c>
      <c r="G268" t="s">
        <v>17</v>
      </c>
      <c r="H268" t="s">
        <v>167</v>
      </c>
      <c r="J268" t="s">
        <v>168</v>
      </c>
      <c r="K268" s="2">
        <v>15</v>
      </c>
      <c r="L268">
        <v>28</v>
      </c>
      <c r="M268">
        <f t="shared" si="4"/>
        <v>420</v>
      </c>
    </row>
    <row r="269" spans="1:13">
      <c r="A269" t="s">
        <v>165</v>
      </c>
      <c r="B269" t="s">
        <v>166</v>
      </c>
      <c r="C269" s="1">
        <v>40064</v>
      </c>
      <c r="D269" t="s">
        <v>86</v>
      </c>
      <c r="E269" t="s">
        <v>15</v>
      </c>
      <c r="F269" t="s">
        <v>54</v>
      </c>
      <c r="G269" t="s">
        <v>39</v>
      </c>
      <c r="H269" t="s">
        <v>167</v>
      </c>
      <c r="J269" t="s">
        <v>168</v>
      </c>
      <c r="K269" s="2">
        <v>34</v>
      </c>
      <c r="L269">
        <v>15</v>
      </c>
      <c r="M269">
        <f t="shared" si="4"/>
        <v>510</v>
      </c>
    </row>
    <row r="270" spans="1:13">
      <c r="A270" t="s">
        <v>172</v>
      </c>
      <c r="B270" t="s">
        <v>173</v>
      </c>
      <c r="C270" s="1">
        <v>39470</v>
      </c>
      <c r="D270" t="s">
        <v>149</v>
      </c>
      <c r="E270" t="s">
        <v>50</v>
      </c>
      <c r="F270" t="s">
        <v>27</v>
      </c>
      <c r="G270" t="s">
        <v>39</v>
      </c>
      <c r="H270" t="s">
        <v>167</v>
      </c>
      <c r="J270" t="s">
        <v>168</v>
      </c>
      <c r="K270" s="2">
        <v>21.35</v>
      </c>
      <c r="L270">
        <v>30</v>
      </c>
      <c r="M270">
        <f t="shared" si="4"/>
        <v>640.5</v>
      </c>
    </row>
    <row r="271" spans="1:13">
      <c r="A271" t="s">
        <v>172</v>
      </c>
      <c r="B271" t="s">
        <v>173</v>
      </c>
      <c r="C271" s="1">
        <v>39470</v>
      </c>
      <c r="D271" t="s">
        <v>46</v>
      </c>
      <c r="E271" t="s">
        <v>50</v>
      </c>
      <c r="F271" t="s">
        <v>47</v>
      </c>
      <c r="G271" t="s">
        <v>39</v>
      </c>
      <c r="H271" t="s">
        <v>167</v>
      </c>
      <c r="J271" t="s">
        <v>168</v>
      </c>
      <c r="K271" s="2">
        <v>97</v>
      </c>
      <c r="L271">
        <v>3</v>
      </c>
      <c r="M271">
        <f t="shared" si="4"/>
        <v>291</v>
      </c>
    </row>
    <row r="272" spans="1:13">
      <c r="A272" t="s">
        <v>172</v>
      </c>
      <c r="B272" t="s">
        <v>173</v>
      </c>
      <c r="C272" s="1">
        <v>39875</v>
      </c>
      <c r="D272" t="s">
        <v>130</v>
      </c>
      <c r="E272" t="s">
        <v>53</v>
      </c>
      <c r="F272" t="s">
        <v>118</v>
      </c>
      <c r="G272" t="s">
        <v>17</v>
      </c>
      <c r="H272" t="s">
        <v>167</v>
      </c>
      <c r="J272" t="s">
        <v>168</v>
      </c>
      <c r="K272" s="2">
        <v>7.2</v>
      </c>
      <c r="L272">
        <v>21</v>
      </c>
      <c r="M272">
        <f t="shared" si="4"/>
        <v>151.20000000000002</v>
      </c>
    </row>
    <row r="273" spans="1:13">
      <c r="A273" t="s">
        <v>172</v>
      </c>
      <c r="B273" t="s">
        <v>173</v>
      </c>
      <c r="C273" s="1">
        <v>39875</v>
      </c>
      <c r="D273" t="s">
        <v>124</v>
      </c>
      <c r="E273" t="s">
        <v>53</v>
      </c>
      <c r="F273" t="s">
        <v>125</v>
      </c>
      <c r="G273" t="s">
        <v>17</v>
      </c>
      <c r="H273" t="s">
        <v>167</v>
      </c>
      <c r="J273" t="s">
        <v>168</v>
      </c>
      <c r="K273" s="2">
        <v>4.8</v>
      </c>
      <c r="L273">
        <v>1</v>
      </c>
      <c r="M273">
        <f t="shared" si="4"/>
        <v>4.8</v>
      </c>
    </row>
    <row r="274" spans="1:13">
      <c r="A274" t="s">
        <v>172</v>
      </c>
      <c r="B274" t="s">
        <v>173</v>
      </c>
      <c r="C274" s="1">
        <v>39848</v>
      </c>
      <c r="D274" t="s">
        <v>117</v>
      </c>
      <c r="E274" t="s">
        <v>67</v>
      </c>
      <c r="F274" t="s">
        <v>118</v>
      </c>
      <c r="G274" t="s">
        <v>17</v>
      </c>
      <c r="H274" t="s">
        <v>167</v>
      </c>
      <c r="J274" t="s">
        <v>168</v>
      </c>
      <c r="K274" s="2">
        <v>16.8</v>
      </c>
      <c r="L274">
        <v>12</v>
      </c>
      <c r="M274">
        <f t="shared" si="4"/>
        <v>201.60000000000002</v>
      </c>
    </row>
    <row r="275" spans="1:13">
      <c r="A275" t="s">
        <v>172</v>
      </c>
      <c r="B275" t="s">
        <v>173</v>
      </c>
      <c r="C275" s="1">
        <v>39848</v>
      </c>
      <c r="D275" t="s">
        <v>75</v>
      </c>
      <c r="E275" t="s">
        <v>67</v>
      </c>
      <c r="F275" t="s">
        <v>76</v>
      </c>
      <c r="G275" t="s">
        <v>17</v>
      </c>
      <c r="H275" t="s">
        <v>167</v>
      </c>
      <c r="J275" t="s">
        <v>168</v>
      </c>
      <c r="K275" s="2">
        <v>27.8</v>
      </c>
      <c r="L275">
        <v>10</v>
      </c>
      <c r="M275">
        <f t="shared" si="4"/>
        <v>278</v>
      </c>
    </row>
    <row r="276" spans="1:13">
      <c r="A276" t="s">
        <v>172</v>
      </c>
      <c r="B276" t="s">
        <v>173</v>
      </c>
      <c r="C276" s="1">
        <v>39848</v>
      </c>
      <c r="D276" t="s">
        <v>36</v>
      </c>
      <c r="E276" t="s">
        <v>67</v>
      </c>
      <c r="F276" t="s">
        <v>37</v>
      </c>
      <c r="G276" t="s">
        <v>17</v>
      </c>
      <c r="H276" t="s">
        <v>167</v>
      </c>
      <c r="J276" t="s">
        <v>168</v>
      </c>
      <c r="K276" s="2">
        <v>15.2</v>
      </c>
      <c r="L276">
        <v>10</v>
      </c>
      <c r="M276">
        <f t="shared" si="4"/>
        <v>152</v>
      </c>
    </row>
    <row r="277" spans="1:13">
      <c r="A277" t="s">
        <v>174</v>
      </c>
      <c r="B277" t="s">
        <v>175</v>
      </c>
      <c r="C277" s="1">
        <v>39456</v>
      </c>
      <c r="D277" t="s">
        <v>52</v>
      </c>
      <c r="E277" t="s">
        <v>66</v>
      </c>
      <c r="F277" t="s">
        <v>54</v>
      </c>
      <c r="G277" t="s">
        <v>39</v>
      </c>
      <c r="H277" t="s">
        <v>176</v>
      </c>
      <c r="I277" t="s">
        <v>177</v>
      </c>
      <c r="J277" t="s">
        <v>178</v>
      </c>
      <c r="K277" s="2">
        <v>55</v>
      </c>
      <c r="L277">
        <v>40</v>
      </c>
      <c r="M277">
        <f t="shared" si="4"/>
        <v>2200</v>
      </c>
    </row>
    <row r="278" spans="1:13">
      <c r="A278" t="s">
        <v>174</v>
      </c>
      <c r="B278" t="s">
        <v>175</v>
      </c>
      <c r="C278" s="1">
        <v>39456</v>
      </c>
      <c r="D278" t="s">
        <v>49</v>
      </c>
      <c r="E278" t="s">
        <v>66</v>
      </c>
      <c r="F278" t="s">
        <v>51</v>
      </c>
      <c r="G278" t="s">
        <v>39</v>
      </c>
      <c r="H278" t="s">
        <v>176</v>
      </c>
      <c r="I278" t="s">
        <v>177</v>
      </c>
      <c r="J278" t="s">
        <v>178</v>
      </c>
      <c r="K278" s="2">
        <v>13</v>
      </c>
      <c r="L278">
        <v>15</v>
      </c>
      <c r="M278">
        <f t="shared" si="4"/>
        <v>195</v>
      </c>
    </row>
    <row r="279" spans="1:13">
      <c r="A279" t="s">
        <v>174</v>
      </c>
      <c r="B279" t="s">
        <v>175</v>
      </c>
      <c r="C279" s="1">
        <v>39740</v>
      </c>
      <c r="D279" t="s">
        <v>30</v>
      </c>
      <c r="E279" t="s">
        <v>21</v>
      </c>
      <c r="F279" t="s">
        <v>31</v>
      </c>
      <c r="G279" t="s">
        <v>17</v>
      </c>
      <c r="H279" t="s">
        <v>176</v>
      </c>
      <c r="I279" t="s">
        <v>177</v>
      </c>
      <c r="J279" t="s">
        <v>178</v>
      </c>
      <c r="K279" s="2">
        <v>24.9</v>
      </c>
      <c r="L279">
        <v>16</v>
      </c>
      <c r="M279">
        <f t="shared" si="4"/>
        <v>398.4</v>
      </c>
    </row>
    <row r="280" spans="1:13">
      <c r="A280" t="s">
        <v>174</v>
      </c>
      <c r="B280" t="s">
        <v>175</v>
      </c>
      <c r="C280" s="1">
        <v>39740</v>
      </c>
      <c r="D280" t="s">
        <v>86</v>
      </c>
      <c r="E280" t="s">
        <v>21</v>
      </c>
      <c r="F280" t="s">
        <v>54</v>
      </c>
      <c r="G280" t="s">
        <v>17</v>
      </c>
      <c r="H280" t="s">
        <v>176</v>
      </c>
      <c r="I280" t="s">
        <v>177</v>
      </c>
      <c r="J280" t="s">
        <v>178</v>
      </c>
      <c r="K280" s="2">
        <v>27.2</v>
      </c>
      <c r="L280">
        <v>8</v>
      </c>
      <c r="M280">
        <f t="shared" si="4"/>
        <v>217.6</v>
      </c>
    </row>
    <row r="281" spans="1:13">
      <c r="A281" t="s">
        <v>174</v>
      </c>
      <c r="B281" t="s">
        <v>175</v>
      </c>
      <c r="C281" s="1">
        <v>39872</v>
      </c>
      <c r="D281" t="s">
        <v>34</v>
      </c>
      <c r="E281" t="s">
        <v>21</v>
      </c>
      <c r="F281" t="s">
        <v>35</v>
      </c>
      <c r="G281" t="s">
        <v>17</v>
      </c>
      <c r="H281" t="s">
        <v>176</v>
      </c>
      <c r="I281" t="s">
        <v>177</v>
      </c>
      <c r="J281" t="s">
        <v>178</v>
      </c>
      <c r="K281" s="2">
        <v>8</v>
      </c>
      <c r="L281">
        <v>40</v>
      </c>
      <c r="M281">
        <f t="shared" si="4"/>
        <v>320</v>
      </c>
    </row>
    <row r="282" spans="1:13">
      <c r="A282" t="s">
        <v>174</v>
      </c>
      <c r="B282" t="s">
        <v>175</v>
      </c>
      <c r="C282" s="1">
        <v>39872</v>
      </c>
      <c r="D282" t="s">
        <v>148</v>
      </c>
      <c r="E282" t="s">
        <v>21</v>
      </c>
      <c r="F282" t="s">
        <v>16</v>
      </c>
      <c r="G282" t="s">
        <v>17</v>
      </c>
      <c r="H282" t="s">
        <v>176</v>
      </c>
      <c r="I282" t="s">
        <v>177</v>
      </c>
      <c r="J282" t="s">
        <v>178</v>
      </c>
      <c r="K282" s="2">
        <v>19.2</v>
      </c>
      <c r="L282">
        <v>60</v>
      </c>
      <c r="M282">
        <f t="shared" si="4"/>
        <v>1152</v>
      </c>
    </row>
    <row r="283" spans="1:13">
      <c r="A283" t="s">
        <v>174</v>
      </c>
      <c r="B283" t="s">
        <v>175</v>
      </c>
      <c r="C283" s="1">
        <v>39498</v>
      </c>
      <c r="D283" t="s">
        <v>109</v>
      </c>
      <c r="E283" t="s">
        <v>66</v>
      </c>
      <c r="F283" t="s">
        <v>56</v>
      </c>
      <c r="G283" t="s">
        <v>39</v>
      </c>
      <c r="H283" t="s">
        <v>176</v>
      </c>
      <c r="I283" t="s">
        <v>177</v>
      </c>
      <c r="J283" t="s">
        <v>178</v>
      </c>
      <c r="K283" s="2">
        <v>18</v>
      </c>
      <c r="L283">
        <v>8</v>
      </c>
      <c r="M283">
        <f t="shared" si="4"/>
        <v>144</v>
      </c>
    </row>
    <row r="284" spans="1:13">
      <c r="A284" t="s">
        <v>174</v>
      </c>
      <c r="B284" t="s">
        <v>175</v>
      </c>
      <c r="C284" s="1">
        <v>39541</v>
      </c>
      <c r="D284" t="s">
        <v>120</v>
      </c>
      <c r="E284" t="s">
        <v>67</v>
      </c>
      <c r="F284" t="s">
        <v>33</v>
      </c>
      <c r="G284" t="s">
        <v>39</v>
      </c>
      <c r="H284" t="s">
        <v>176</v>
      </c>
      <c r="I284" t="s">
        <v>177</v>
      </c>
      <c r="J284" t="s">
        <v>178</v>
      </c>
      <c r="K284" s="2">
        <v>7</v>
      </c>
      <c r="L284">
        <v>20</v>
      </c>
      <c r="M284">
        <f t="shared" si="4"/>
        <v>140</v>
      </c>
    </row>
    <row r="285" spans="1:13">
      <c r="A285" t="s">
        <v>174</v>
      </c>
      <c r="B285" t="s">
        <v>175</v>
      </c>
      <c r="C285" s="1">
        <v>39573</v>
      </c>
      <c r="D285" t="s">
        <v>124</v>
      </c>
      <c r="E285" t="s">
        <v>21</v>
      </c>
      <c r="F285" t="s">
        <v>125</v>
      </c>
      <c r="G285" t="s">
        <v>39</v>
      </c>
      <c r="H285" t="s">
        <v>176</v>
      </c>
      <c r="I285" t="s">
        <v>177</v>
      </c>
      <c r="J285" t="s">
        <v>178</v>
      </c>
      <c r="K285" s="2">
        <v>6</v>
      </c>
      <c r="L285">
        <v>10</v>
      </c>
      <c r="M285">
        <f t="shared" si="4"/>
        <v>60</v>
      </c>
    </row>
    <row r="286" spans="1:13">
      <c r="A286" t="s">
        <v>174</v>
      </c>
      <c r="B286" t="s">
        <v>175</v>
      </c>
      <c r="C286" s="1">
        <v>39541</v>
      </c>
      <c r="D286" t="s">
        <v>138</v>
      </c>
      <c r="E286" t="s">
        <v>67</v>
      </c>
      <c r="F286" t="s">
        <v>76</v>
      </c>
      <c r="G286" t="s">
        <v>39</v>
      </c>
      <c r="H286" t="s">
        <v>176</v>
      </c>
      <c r="I286" t="s">
        <v>177</v>
      </c>
      <c r="J286" t="s">
        <v>178</v>
      </c>
      <c r="K286" s="2">
        <v>32</v>
      </c>
      <c r="L286">
        <v>50</v>
      </c>
      <c r="M286">
        <f t="shared" si="4"/>
        <v>1600</v>
      </c>
    </row>
    <row r="287" spans="1:13">
      <c r="A287" t="s">
        <v>174</v>
      </c>
      <c r="B287" t="s">
        <v>175</v>
      </c>
      <c r="C287" s="1">
        <v>39954</v>
      </c>
      <c r="D287" t="s">
        <v>130</v>
      </c>
      <c r="E287" t="s">
        <v>67</v>
      </c>
      <c r="F287" t="s">
        <v>118</v>
      </c>
      <c r="G287" t="s">
        <v>17</v>
      </c>
      <c r="H287" t="s">
        <v>176</v>
      </c>
      <c r="I287" t="s">
        <v>177</v>
      </c>
      <c r="J287" t="s">
        <v>178</v>
      </c>
      <c r="K287" s="2">
        <v>9</v>
      </c>
      <c r="L287">
        <v>70</v>
      </c>
      <c r="M287">
        <f t="shared" si="4"/>
        <v>630</v>
      </c>
    </row>
    <row r="288" spans="1:13">
      <c r="A288" t="s">
        <v>174</v>
      </c>
      <c r="B288" t="s">
        <v>175</v>
      </c>
      <c r="C288" s="1">
        <v>39911</v>
      </c>
      <c r="D288" t="s">
        <v>77</v>
      </c>
      <c r="E288" t="s">
        <v>24</v>
      </c>
      <c r="F288" t="s">
        <v>51</v>
      </c>
      <c r="G288" t="s">
        <v>17</v>
      </c>
      <c r="H288" t="s">
        <v>176</v>
      </c>
      <c r="I288" t="s">
        <v>177</v>
      </c>
      <c r="J288" t="s">
        <v>178</v>
      </c>
      <c r="K288" s="2">
        <v>45.6</v>
      </c>
      <c r="L288">
        <v>20</v>
      </c>
      <c r="M288">
        <f t="shared" si="4"/>
        <v>912</v>
      </c>
    </row>
    <row r="289" spans="1:13">
      <c r="A289" t="s">
        <v>174</v>
      </c>
      <c r="B289" t="s">
        <v>175</v>
      </c>
      <c r="C289" s="1">
        <v>39872</v>
      </c>
      <c r="D289" t="s">
        <v>83</v>
      </c>
      <c r="E289" t="s">
        <v>21</v>
      </c>
      <c r="F289" t="s">
        <v>84</v>
      </c>
      <c r="G289" t="s">
        <v>17</v>
      </c>
      <c r="H289" t="s">
        <v>176</v>
      </c>
      <c r="I289" t="s">
        <v>177</v>
      </c>
      <c r="J289" t="s">
        <v>178</v>
      </c>
      <c r="K289" s="2">
        <v>20.7</v>
      </c>
      <c r="L289">
        <v>28</v>
      </c>
      <c r="M289">
        <f t="shared" si="4"/>
        <v>579.6</v>
      </c>
    </row>
    <row r="290" spans="1:13">
      <c r="A290" t="s">
        <v>174</v>
      </c>
      <c r="B290" t="s">
        <v>175</v>
      </c>
      <c r="C290" s="1">
        <v>39911</v>
      </c>
      <c r="D290" t="s">
        <v>119</v>
      </c>
      <c r="E290" t="s">
        <v>24</v>
      </c>
      <c r="F290" t="s">
        <v>97</v>
      </c>
      <c r="G290" t="s">
        <v>17</v>
      </c>
      <c r="H290" t="s">
        <v>176</v>
      </c>
      <c r="I290" t="s">
        <v>177</v>
      </c>
      <c r="J290" t="s">
        <v>178</v>
      </c>
      <c r="K290" s="2">
        <v>20</v>
      </c>
      <c r="L290">
        <v>25</v>
      </c>
      <c r="M290">
        <f t="shared" si="4"/>
        <v>500</v>
      </c>
    </row>
    <row r="291" spans="1:13">
      <c r="A291" t="s">
        <v>174</v>
      </c>
      <c r="B291" t="s">
        <v>175</v>
      </c>
      <c r="C291" s="1">
        <v>40072</v>
      </c>
      <c r="D291" t="s">
        <v>49</v>
      </c>
      <c r="E291" t="s">
        <v>53</v>
      </c>
      <c r="F291" t="s">
        <v>51</v>
      </c>
      <c r="G291" t="s">
        <v>39</v>
      </c>
      <c r="H291" t="s">
        <v>176</v>
      </c>
      <c r="I291" t="s">
        <v>177</v>
      </c>
      <c r="J291" t="s">
        <v>178</v>
      </c>
      <c r="K291" s="2">
        <v>13</v>
      </c>
      <c r="L291">
        <v>15</v>
      </c>
      <c r="M291">
        <f t="shared" si="4"/>
        <v>195</v>
      </c>
    </row>
    <row r="292" spans="1:13">
      <c r="A292" t="s">
        <v>174</v>
      </c>
      <c r="B292" t="s">
        <v>175</v>
      </c>
      <c r="C292" s="1">
        <v>39569</v>
      </c>
      <c r="D292" t="s">
        <v>83</v>
      </c>
      <c r="E292" t="s">
        <v>67</v>
      </c>
      <c r="F292" t="s">
        <v>84</v>
      </c>
      <c r="G292" t="s">
        <v>39</v>
      </c>
      <c r="H292" t="s">
        <v>176</v>
      </c>
      <c r="I292" t="s">
        <v>177</v>
      </c>
      <c r="J292" t="s">
        <v>178</v>
      </c>
      <c r="K292" s="2">
        <v>25.89</v>
      </c>
      <c r="L292">
        <v>4</v>
      </c>
      <c r="M292">
        <f t="shared" si="4"/>
        <v>103.56</v>
      </c>
    </row>
    <row r="293" spans="1:13">
      <c r="A293" t="s">
        <v>174</v>
      </c>
      <c r="B293" t="s">
        <v>175</v>
      </c>
      <c r="C293" s="1">
        <v>39569</v>
      </c>
      <c r="D293" t="s">
        <v>14</v>
      </c>
      <c r="E293" t="s">
        <v>67</v>
      </c>
      <c r="F293" t="s">
        <v>16</v>
      </c>
      <c r="G293" t="s">
        <v>39</v>
      </c>
      <c r="H293" t="s">
        <v>176</v>
      </c>
      <c r="I293" t="s">
        <v>177</v>
      </c>
      <c r="J293" t="s">
        <v>178</v>
      </c>
      <c r="K293" s="2">
        <v>7.45</v>
      </c>
      <c r="L293">
        <v>20</v>
      </c>
      <c r="M293">
        <f t="shared" si="4"/>
        <v>149</v>
      </c>
    </row>
    <row r="294" spans="1:13">
      <c r="A294" t="s">
        <v>174</v>
      </c>
      <c r="B294" t="s">
        <v>175</v>
      </c>
      <c r="C294" s="1">
        <v>40072</v>
      </c>
      <c r="D294" t="s">
        <v>116</v>
      </c>
      <c r="E294" t="s">
        <v>53</v>
      </c>
      <c r="F294" t="s">
        <v>22</v>
      </c>
      <c r="G294" t="s">
        <v>39</v>
      </c>
      <c r="H294" t="s">
        <v>176</v>
      </c>
      <c r="I294" t="s">
        <v>177</v>
      </c>
      <c r="J294" t="s">
        <v>178</v>
      </c>
      <c r="K294" s="2">
        <v>15</v>
      </c>
      <c r="L294">
        <v>35</v>
      </c>
      <c r="M294">
        <f t="shared" si="4"/>
        <v>525</v>
      </c>
    </row>
    <row r="295" spans="1:13">
      <c r="A295" t="s">
        <v>174</v>
      </c>
      <c r="B295" t="s">
        <v>175</v>
      </c>
      <c r="C295" s="1">
        <v>39954</v>
      </c>
      <c r="D295" t="s">
        <v>154</v>
      </c>
      <c r="E295" t="s">
        <v>67</v>
      </c>
      <c r="F295" t="s">
        <v>132</v>
      </c>
      <c r="G295" t="s">
        <v>17</v>
      </c>
      <c r="H295" t="s">
        <v>176</v>
      </c>
      <c r="I295" t="s">
        <v>177</v>
      </c>
      <c r="J295" t="s">
        <v>178</v>
      </c>
      <c r="K295" s="2">
        <v>38</v>
      </c>
      <c r="L295">
        <v>30</v>
      </c>
      <c r="M295">
        <f t="shared" si="4"/>
        <v>1140</v>
      </c>
    </row>
    <row r="296" spans="1:13">
      <c r="A296" t="s">
        <v>174</v>
      </c>
      <c r="B296" t="s">
        <v>175</v>
      </c>
      <c r="C296" s="1">
        <v>39541</v>
      </c>
      <c r="D296" t="s">
        <v>70</v>
      </c>
      <c r="E296" t="s">
        <v>67</v>
      </c>
      <c r="F296" t="s">
        <v>61</v>
      </c>
      <c r="G296" t="s">
        <v>39</v>
      </c>
      <c r="H296" t="s">
        <v>176</v>
      </c>
      <c r="I296" t="s">
        <v>177</v>
      </c>
      <c r="J296" t="s">
        <v>178</v>
      </c>
      <c r="K296" s="2">
        <v>12</v>
      </c>
      <c r="L296">
        <v>20</v>
      </c>
      <c r="M296">
        <f t="shared" si="4"/>
        <v>240</v>
      </c>
    </row>
    <row r="297" spans="1:13">
      <c r="A297" t="s">
        <v>174</v>
      </c>
      <c r="B297" t="s">
        <v>175</v>
      </c>
      <c r="C297" s="1">
        <v>39700</v>
      </c>
      <c r="D297" t="s">
        <v>179</v>
      </c>
      <c r="E297" t="s">
        <v>15</v>
      </c>
      <c r="F297" t="s">
        <v>47</v>
      </c>
      <c r="G297" t="s">
        <v>17</v>
      </c>
      <c r="H297" t="s">
        <v>176</v>
      </c>
      <c r="I297" t="s">
        <v>177</v>
      </c>
      <c r="J297" t="s">
        <v>178</v>
      </c>
      <c r="K297" s="2">
        <v>8</v>
      </c>
      <c r="L297">
        <v>14</v>
      </c>
      <c r="M297">
        <f t="shared" si="4"/>
        <v>112</v>
      </c>
    </row>
    <row r="298" spans="1:13">
      <c r="A298" t="s">
        <v>174</v>
      </c>
      <c r="B298" t="s">
        <v>175</v>
      </c>
      <c r="C298" s="1">
        <v>39694</v>
      </c>
      <c r="D298" t="s">
        <v>43</v>
      </c>
      <c r="E298" t="s">
        <v>89</v>
      </c>
      <c r="F298" t="s">
        <v>41</v>
      </c>
      <c r="G298" t="s">
        <v>17</v>
      </c>
      <c r="H298" t="s">
        <v>176</v>
      </c>
      <c r="I298" t="s">
        <v>177</v>
      </c>
      <c r="J298" t="s">
        <v>178</v>
      </c>
      <c r="K298" s="2">
        <v>28.8</v>
      </c>
      <c r="L298">
        <v>15</v>
      </c>
      <c r="M298">
        <f t="shared" si="4"/>
        <v>432</v>
      </c>
    </row>
    <row r="299" spans="1:13">
      <c r="A299" t="s">
        <v>174</v>
      </c>
      <c r="B299" t="s">
        <v>175</v>
      </c>
      <c r="C299" s="1">
        <v>39694</v>
      </c>
      <c r="D299" t="s">
        <v>20</v>
      </c>
      <c r="E299" t="s">
        <v>89</v>
      </c>
      <c r="F299" t="s">
        <v>22</v>
      </c>
      <c r="G299" t="s">
        <v>17</v>
      </c>
      <c r="H299" t="s">
        <v>176</v>
      </c>
      <c r="I299" t="s">
        <v>177</v>
      </c>
      <c r="J299" t="s">
        <v>178</v>
      </c>
      <c r="K299" s="2">
        <v>13.9</v>
      </c>
      <c r="L299">
        <v>30</v>
      </c>
      <c r="M299">
        <f t="shared" si="4"/>
        <v>417</v>
      </c>
    </row>
    <row r="300" spans="1:13">
      <c r="A300" t="s">
        <v>174</v>
      </c>
      <c r="B300" t="s">
        <v>175</v>
      </c>
      <c r="C300" s="1">
        <v>39694</v>
      </c>
      <c r="D300" t="s">
        <v>131</v>
      </c>
      <c r="E300" t="s">
        <v>89</v>
      </c>
      <c r="F300" t="s">
        <v>132</v>
      </c>
      <c r="G300" t="s">
        <v>17</v>
      </c>
      <c r="H300" t="s">
        <v>176</v>
      </c>
      <c r="I300" t="s">
        <v>177</v>
      </c>
      <c r="J300" t="s">
        <v>178</v>
      </c>
      <c r="K300" s="2">
        <v>16.8</v>
      </c>
      <c r="L300">
        <v>12</v>
      </c>
      <c r="M300">
        <f t="shared" si="4"/>
        <v>201.60000000000002</v>
      </c>
    </row>
    <row r="301" spans="1:13">
      <c r="A301" t="s">
        <v>174</v>
      </c>
      <c r="B301" t="s">
        <v>175</v>
      </c>
      <c r="C301" s="1">
        <v>39456</v>
      </c>
      <c r="D301" t="s">
        <v>123</v>
      </c>
      <c r="E301" t="s">
        <v>66</v>
      </c>
      <c r="F301" t="s">
        <v>63</v>
      </c>
      <c r="G301" t="s">
        <v>39</v>
      </c>
      <c r="H301" t="s">
        <v>176</v>
      </c>
      <c r="I301" t="s">
        <v>177</v>
      </c>
      <c r="J301" t="s">
        <v>178</v>
      </c>
      <c r="K301" s="2">
        <v>19.5</v>
      </c>
      <c r="L301">
        <v>15</v>
      </c>
      <c r="M301">
        <f t="shared" si="4"/>
        <v>292.5</v>
      </c>
    </row>
    <row r="302" spans="1:13">
      <c r="A302" t="s">
        <v>174</v>
      </c>
      <c r="B302" t="s">
        <v>175</v>
      </c>
      <c r="C302" s="1">
        <v>39737</v>
      </c>
      <c r="D302" t="s">
        <v>30</v>
      </c>
      <c r="E302" t="s">
        <v>15</v>
      </c>
      <c r="F302" t="s">
        <v>31</v>
      </c>
      <c r="G302" t="s">
        <v>17</v>
      </c>
      <c r="H302" t="s">
        <v>176</v>
      </c>
      <c r="I302" t="s">
        <v>177</v>
      </c>
      <c r="J302" t="s">
        <v>178</v>
      </c>
      <c r="K302" s="2">
        <v>24.9</v>
      </c>
      <c r="L302">
        <v>50</v>
      </c>
      <c r="M302">
        <f t="shared" si="4"/>
        <v>1245</v>
      </c>
    </row>
    <row r="303" spans="1:13">
      <c r="A303" t="s">
        <v>174</v>
      </c>
      <c r="B303" t="s">
        <v>175</v>
      </c>
      <c r="C303" s="1">
        <v>39573</v>
      </c>
      <c r="D303" t="s">
        <v>87</v>
      </c>
      <c r="E303" t="s">
        <v>21</v>
      </c>
      <c r="F303" t="s">
        <v>25</v>
      </c>
      <c r="G303" t="s">
        <v>39</v>
      </c>
      <c r="H303" t="s">
        <v>176</v>
      </c>
      <c r="I303" t="s">
        <v>177</v>
      </c>
      <c r="J303" t="s">
        <v>178</v>
      </c>
      <c r="K303" s="2">
        <v>30</v>
      </c>
      <c r="L303">
        <v>15</v>
      </c>
      <c r="M303">
        <f t="shared" si="4"/>
        <v>450</v>
      </c>
    </row>
    <row r="304" spans="1:13">
      <c r="A304" t="s">
        <v>174</v>
      </c>
      <c r="B304" t="s">
        <v>175</v>
      </c>
      <c r="C304" s="1">
        <v>39737</v>
      </c>
      <c r="D304" t="s">
        <v>75</v>
      </c>
      <c r="E304" t="s">
        <v>15</v>
      </c>
      <c r="F304" t="s">
        <v>76</v>
      </c>
      <c r="G304" t="s">
        <v>17</v>
      </c>
      <c r="H304" t="s">
        <v>176</v>
      </c>
      <c r="I304" t="s">
        <v>177</v>
      </c>
      <c r="J304" t="s">
        <v>178</v>
      </c>
      <c r="K304" s="2">
        <v>27.8</v>
      </c>
      <c r="L304">
        <v>25</v>
      </c>
      <c r="M304">
        <f t="shared" si="4"/>
        <v>695</v>
      </c>
    </row>
    <row r="305" spans="1:13">
      <c r="A305" t="s">
        <v>174</v>
      </c>
      <c r="B305" t="s">
        <v>175</v>
      </c>
      <c r="C305" s="1">
        <v>39676</v>
      </c>
      <c r="D305" t="s">
        <v>180</v>
      </c>
      <c r="E305" t="s">
        <v>15</v>
      </c>
      <c r="F305" t="s">
        <v>125</v>
      </c>
      <c r="G305" t="s">
        <v>17</v>
      </c>
      <c r="H305" t="s">
        <v>176</v>
      </c>
      <c r="I305" t="s">
        <v>177</v>
      </c>
      <c r="J305" t="s">
        <v>178</v>
      </c>
      <c r="K305" s="2">
        <v>12.4</v>
      </c>
      <c r="L305">
        <v>20</v>
      </c>
      <c r="M305">
        <f t="shared" si="4"/>
        <v>248</v>
      </c>
    </row>
    <row r="306" spans="1:13">
      <c r="A306" t="s">
        <v>174</v>
      </c>
      <c r="B306" t="s">
        <v>175</v>
      </c>
      <c r="C306" s="1">
        <v>39676</v>
      </c>
      <c r="D306" t="s">
        <v>64</v>
      </c>
      <c r="E306" t="s">
        <v>15</v>
      </c>
      <c r="F306" t="s">
        <v>35</v>
      </c>
      <c r="G306" t="s">
        <v>17</v>
      </c>
      <c r="H306" t="s">
        <v>176</v>
      </c>
      <c r="I306" t="s">
        <v>177</v>
      </c>
      <c r="J306" t="s">
        <v>178</v>
      </c>
      <c r="K306" s="2">
        <v>7.3</v>
      </c>
      <c r="L306">
        <v>18</v>
      </c>
      <c r="M306">
        <f t="shared" si="4"/>
        <v>131.4</v>
      </c>
    </row>
    <row r="307" spans="1:13">
      <c r="A307" t="s">
        <v>174</v>
      </c>
      <c r="B307" t="s">
        <v>175</v>
      </c>
      <c r="C307" s="1">
        <v>39740</v>
      </c>
      <c r="D307" t="s">
        <v>102</v>
      </c>
      <c r="E307" t="s">
        <v>21</v>
      </c>
      <c r="F307" t="s">
        <v>47</v>
      </c>
      <c r="G307" t="s">
        <v>17</v>
      </c>
      <c r="H307" t="s">
        <v>176</v>
      </c>
      <c r="I307" t="s">
        <v>177</v>
      </c>
      <c r="J307" t="s">
        <v>178</v>
      </c>
      <c r="K307" s="2">
        <v>24.8</v>
      </c>
      <c r="L307">
        <v>30</v>
      </c>
      <c r="M307">
        <f t="shared" si="4"/>
        <v>744</v>
      </c>
    </row>
    <row r="308" spans="1:13">
      <c r="A308" t="s">
        <v>174</v>
      </c>
      <c r="B308" t="s">
        <v>175</v>
      </c>
      <c r="C308" s="1">
        <v>39676</v>
      </c>
      <c r="D308" t="s">
        <v>86</v>
      </c>
      <c r="E308" t="s">
        <v>15</v>
      </c>
      <c r="F308" t="s">
        <v>54</v>
      </c>
      <c r="G308" t="s">
        <v>17</v>
      </c>
      <c r="H308" t="s">
        <v>176</v>
      </c>
      <c r="I308" t="s">
        <v>177</v>
      </c>
      <c r="J308" t="s">
        <v>178</v>
      </c>
      <c r="K308" s="2">
        <v>27.2</v>
      </c>
      <c r="L308">
        <v>35</v>
      </c>
      <c r="M308">
        <f t="shared" si="4"/>
        <v>952</v>
      </c>
    </row>
    <row r="309" spans="1:13">
      <c r="A309" t="s">
        <v>174</v>
      </c>
      <c r="B309" t="s">
        <v>175</v>
      </c>
      <c r="C309" s="1">
        <v>39676</v>
      </c>
      <c r="D309" t="s">
        <v>75</v>
      </c>
      <c r="E309" t="s">
        <v>15</v>
      </c>
      <c r="F309" t="s">
        <v>76</v>
      </c>
      <c r="G309" t="s">
        <v>17</v>
      </c>
      <c r="H309" t="s">
        <v>176</v>
      </c>
      <c r="I309" t="s">
        <v>177</v>
      </c>
      <c r="J309" t="s">
        <v>178</v>
      </c>
      <c r="K309" s="2">
        <v>27.8</v>
      </c>
      <c r="L309">
        <v>3</v>
      </c>
      <c r="M309">
        <f t="shared" si="4"/>
        <v>83.4</v>
      </c>
    </row>
    <row r="310" spans="1:13">
      <c r="A310" t="s">
        <v>174</v>
      </c>
      <c r="B310" t="s">
        <v>175</v>
      </c>
      <c r="C310" s="1">
        <v>39456</v>
      </c>
      <c r="D310" t="s">
        <v>131</v>
      </c>
      <c r="E310" t="s">
        <v>66</v>
      </c>
      <c r="F310" t="s">
        <v>132</v>
      </c>
      <c r="G310" t="s">
        <v>39</v>
      </c>
      <c r="H310" t="s">
        <v>176</v>
      </c>
      <c r="I310" t="s">
        <v>177</v>
      </c>
      <c r="J310" t="s">
        <v>178</v>
      </c>
      <c r="K310" s="2">
        <v>21</v>
      </c>
      <c r="L310">
        <v>20</v>
      </c>
      <c r="M310">
        <f t="shared" si="4"/>
        <v>420</v>
      </c>
    </row>
    <row r="311" spans="1:13">
      <c r="A311" t="s">
        <v>181</v>
      </c>
      <c r="B311" t="s">
        <v>182</v>
      </c>
      <c r="C311" s="1">
        <v>39482</v>
      </c>
      <c r="D311" t="s">
        <v>44</v>
      </c>
      <c r="E311" t="s">
        <v>66</v>
      </c>
      <c r="F311" t="s">
        <v>45</v>
      </c>
      <c r="G311" t="s">
        <v>39</v>
      </c>
      <c r="H311" t="s">
        <v>183</v>
      </c>
      <c r="J311" t="s">
        <v>184</v>
      </c>
      <c r="K311" s="2">
        <v>18</v>
      </c>
      <c r="L311">
        <v>3</v>
      </c>
      <c r="M311">
        <f t="shared" si="4"/>
        <v>54</v>
      </c>
    </row>
    <row r="312" spans="1:13">
      <c r="A312" t="s">
        <v>181</v>
      </c>
      <c r="B312" t="s">
        <v>182</v>
      </c>
      <c r="C312" s="1">
        <v>40074</v>
      </c>
      <c r="D312" t="s">
        <v>94</v>
      </c>
      <c r="E312" t="s">
        <v>53</v>
      </c>
      <c r="F312" t="s">
        <v>74</v>
      </c>
      <c r="G312" t="s">
        <v>17</v>
      </c>
      <c r="H312" t="s">
        <v>183</v>
      </c>
      <c r="J312" t="s">
        <v>184</v>
      </c>
      <c r="K312" s="2">
        <v>46</v>
      </c>
      <c r="L312">
        <v>6</v>
      </c>
      <c r="M312">
        <f t="shared" si="4"/>
        <v>276</v>
      </c>
    </row>
    <row r="313" spans="1:13">
      <c r="A313" t="s">
        <v>181</v>
      </c>
      <c r="B313" t="s">
        <v>182</v>
      </c>
      <c r="C313" s="1">
        <v>40074</v>
      </c>
      <c r="D313" t="s">
        <v>110</v>
      </c>
      <c r="E313" t="s">
        <v>53</v>
      </c>
      <c r="F313" t="s">
        <v>74</v>
      </c>
      <c r="G313" t="s">
        <v>17</v>
      </c>
      <c r="H313" t="s">
        <v>183</v>
      </c>
      <c r="J313" t="s">
        <v>184</v>
      </c>
      <c r="K313" s="2">
        <v>14</v>
      </c>
      <c r="L313">
        <v>6</v>
      </c>
      <c r="M313">
        <f t="shared" si="4"/>
        <v>84</v>
      </c>
    </row>
    <row r="314" spans="1:13">
      <c r="A314" t="s">
        <v>181</v>
      </c>
      <c r="B314" t="s">
        <v>182</v>
      </c>
      <c r="C314" s="1">
        <v>39504</v>
      </c>
      <c r="D314" t="s">
        <v>28</v>
      </c>
      <c r="E314" t="s">
        <v>21</v>
      </c>
      <c r="F314" t="s">
        <v>29</v>
      </c>
      <c r="G314" t="s">
        <v>39</v>
      </c>
      <c r="H314" t="s">
        <v>183</v>
      </c>
      <c r="J314" t="s">
        <v>184</v>
      </c>
      <c r="K314" s="2">
        <v>28.5</v>
      </c>
      <c r="L314">
        <v>5</v>
      </c>
      <c r="M314">
        <f t="shared" si="4"/>
        <v>142.5</v>
      </c>
    </row>
    <row r="315" spans="1:13">
      <c r="A315" t="s">
        <v>181</v>
      </c>
      <c r="B315" t="s">
        <v>182</v>
      </c>
      <c r="C315" s="1">
        <v>40019</v>
      </c>
      <c r="D315" t="s">
        <v>111</v>
      </c>
      <c r="E315" t="s">
        <v>89</v>
      </c>
      <c r="F315" t="s">
        <v>37</v>
      </c>
      <c r="G315" t="s">
        <v>17</v>
      </c>
      <c r="H315" t="s">
        <v>183</v>
      </c>
      <c r="J315" t="s">
        <v>184</v>
      </c>
      <c r="K315" s="2">
        <v>18</v>
      </c>
      <c r="L315">
        <v>6</v>
      </c>
      <c r="M315">
        <f t="shared" si="4"/>
        <v>108</v>
      </c>
    </row>
    <row r="316" spans="1:13">
      <c r="A316" t="s">
        <v>181</v>
      </c>
      <c r="B316" t="s">
        <v>182</v>
      </c>
      <c r="C316" s="1">
        <v>39504</v>
      </c>
      <c r="D316" t="s">
        <v>119</v>
      </c>
      <c r="E316" t="s">
        <v>21</v>
      </c>
      <c r="F316" t="s">
        <v>97</v>
      </c>
      <c r="G316" t="s">
        <v>39</v>
      </c>
      <c r="H316" t="s">
        <v>183</v>
      </c>
      <c r="J316" t="s">
        <v>184</v>
      </c>
      <c r="K316" s="2">
        <v>20</v>
      </c>
      <c r="L316">
        <v>10</v>
      </c>
      <c r="M316">
        <f t="shared" si="4"/>
        <v>200</v>
      </c>
    </row>
    <row r="317" spans="1:13">
      <c r="A317" t="s">
        <v>181</v>
      </c>
      <c r="B317" t="s">
        <v>182</v>
      </c>
      <c r="C317" s="1">
        <v>39482</v>
      </c>
      <c r="D317" t="s">
        <v>85</v>
      </c>
      <c r="E317" t="s">
        <v>66</v>
      </c>
      <c r="F317" t="s">
        <v>33</v>
      </c>
      <c r="G317" t="s">
        <v>39</v>
      </c>
      <c r="H317" t="s">
        <v>183</v>
      </c>
      <c r="J317" t="s">
        <v>184</v>
      </c>
      <c r="K317" s="2">
        <v>53</v>
      </c>
      <c r="L317">
        <v>2</v>
      </c>
      <c r="M317">
        <f t="shared" si="4"/>
        <v>106</v>
      </c>
    </row>
    <row r="318" spans="1:13">
      <c r="A318" t="s">
        <v>181</v>
      </c>
      <c r="B318" t="s">
        <v>182</v>
      </c>
      <c r="C318" s="1">
        <v>39504</v>
      </c>
      <c r="D318" t="s">
        <v>64</v>
      </c>
      <c r="E318" t="s">
        <v>21</v>
      </c>
      <c r="F318" t="s">
        <v>35</v>
      </c>
      <c r="G318" t="s">
        <v>39</v>
      </c>
      <c r="H318" t="s">
        <v>183</v>
      </c>
      <c r="J318" t="s">
        <v>184</v>
      </c>
      <c r="K318" s="2">
        <v>9.1999999999999993</v>
      </c>
      <c r="L318">
        <v>12</v>
      </c>
      <c r="M318">
        <f t="shared" si="4"/>
        <v>110.39999999999999</v>
      </c>
    </row>
    <row r="319" spans="1:13">
      <c r="A319" t="s">
        <v>181</v>
      </c>
      <c r="B319" t="s">
        <v>182</v>
      </c>
      <c r="C319" s="1">
        <v>40079</v>
      </c>
      <c r="D319" t="s">
        <v>36</v>
      </c>
      <c r="E319" t="s">
        <v>21</v>
      </c>
      <c r="F319" t="s">
        <v>37</v>
      </c>
      <c r="G319" t="s">
        <v>39</v>
      </c>
      <c r="H319" t="s">
        <v>183</v>
      </c>
      <c r="J319" t="s">
        <v>184</v>
      </c>
      <c r="K319" s="2">
        <v>19</v>
      </c>
      <c r="L319">
        <v>10</v>
      </c>
      <c r="M319">
        <f t="shared" si="4"/>
        <v>190</v>
      </c>
    </row>
    <row r="320" spans="1:13">
      <c r="A320" t="s">
        <v>181</v>
      </c>
      <c r="B320" t="s">
        <v>182</v>
      </c>
      <c r="C320" s="1">
        <v>40079</v>
      </c>
      <c r="D320" t="s">
        <v>14</v>
      </c>
      <c r="E320" t="s">
        <v>21</v>
      </c>
      <c r="F320" t="s">
        <v>16</v>
      </c>
      <c r="G320" t="s">
        <v>39</v>
      </c>
      <c r="H320" t="s">
        <v>183</v>
      </c>
      <c r="J320" t="s">
        <v>184</v>
      </c>
      <c r="K320" s="2">
        <v>7.45</v>
      </c>
      <c r="L320">
        <v>3</v>
      </c>
      <c r="M320">
        <f t="shared" si="4"/>
        <v>22.35</v>
      </c>
    </row>
    <row r="321" spans="1:13">
      <c r="A321" t="s">
        <v>181</v>
      </c>
      <c r="B321" t="s">
        <v>182</v>
      </c>
      <c r="C321" s="1">
        <v>39696</v>
      </c>
      <c r="D321" t="s">
        <v>137</v>
      </c>
      <c r="E321" t="s">
        <v>21</v>
      </c>
      <c r="F321" t="s">
        <v>76</v>
      </c>
      <c r="G321" t="s">
        <v>17</v>
      </c>
      <c r="H321" t="s">
        <v>183</v>
      </c>
      <c r="J321" t="s">
        <v>184</v>
      </c>
      <c r="K321" s="2">
        <v>10</v>
      </c>
      <c r="L321">
        <v>30</v>
      </c>
      <c r="M321">
        <f t="shared" si="4"/>
        <v>300</v>
      </c>
    </row>
    <row r="322" spans="1:13">
      <c r="A322" t="s">
        <v>181</v>
      </c>
      <c r="B322" t="s">
        <v>182</v>
      </c>
      <c r="C322" s="1">
        <v>40079</v>
      </c>
      <c r="D322" t="s">
        <v>82</v>
      </c>
      <c r="E322" t="s">
        <v>21</v>
      </c>
      <c r="F322" t="s">
        <v>35</v>
      </c>
      <c r="G322" t="s">
        <v>39</v>
      </c>
      <c r="H322" t="s">
        <v>183</v>
      </c>
      <c r="J322" t="s">
        <v>184</v>
      </c>
      <c r="K322" s="2">
        <v>12.5</v>
      </c>
      <c r="L322">
        <v>15</v>
      </c>
      <c r="M322">
        <f t="shared" si="4"/>
        <v>187.5</v>
      </c>
    </row>
    <row r="323" spans="1:13">
      <c r="A323" t="s">
        <v>181</v>
      </c>
      <c r="B323" t="s">
        <v>182</v>
      </c>
      <c r="C323" s="1">
        <v>40074</v>
      </c>
      <c r="D323" t="s">
        <v>20</v>
      </c>
      <c r="E323" t="s">
        <v>53</v>
      </c>
      <c r="F323" t="s">
        <v>22</v>
      </c>
      <c r="G323" t="s">
        <v>17</v>
      </c>
      <c r="H323" t="s">
        <v>183</v>
      </c>
      <c r="J323" t="s">
        <v>184</v>
      </c>
      <c r="K323" s="2">
        <v>17.45</v>
      </c>
      <c r="L323">
        <v>3</v>
      </c>
      <c r="M323">
        <f t="shared" ref="M323:M386" si="5">K323*L323</f>
        <v>52.349999999999994</v>
      </c>
    </row>
    <row r="324" spans="1:13">
      <c r="A324" t="s">
        <v>181</v>
      </c>
      <c r="B324" t="s">
        <v>182</v>
      </c>
      <c r="C324" s="1">
        <v>39561</v>
      </c>
      <c r="D324" t="s">
        <v>38</v>
      </c>
      <c r="E324" t="s">
        <v>24</v>
      </c>
      <c r="F324" t="s">
        <v>29</v>
      </c>
      <c r="G324" t="s">
        <v>39</v>
      </c>
      <c r="H324" t="s">
        <v>183</v>
      </c>
      <c r="J324" t="s">
        <v>184</v>
      </c>
      <c r="K324" s="2">
        <v>49.3</v>
      </c>
      <c r="L324">
        <v>12</v>
      </c>
      <c r="M324">
        <f t="shared" si="5"/>
        <v>591.59999999999991</v>
      </c>
    </row>
    <row r="325" spans="1:13">
      <c r="A325" t="s">
        <v>181</v>
      </c>
      <c r="B325" t="s">
        <v>182</v>
      </c>
      <c r="C325" s="1">
        <v>40019</v>
      </c>
      <c r="D325" t="s">
        <v>86</v>
      </c>
      <c r="E325" t="s">
        <v>89</v>
      </c>
      <c r="F325" t="s">
        <v>54</v>
      </c>
      <c r="G325" t="s">
        <v>17</v>
      </c>
      <c r="H325" t="s">
        <v>183</v>
      </c>
      <c r="J325" t="s">
        <v>184</v>
      </c>
      <c r="K325" s="2">
        <v>34</v>
      </c>
      <c r="L325">
        <v>15</v>
      </c>
      <c r="M325">
        <f t="shared" si="5"/>
        <v>510</v>
      </c>
    </row>
    <row r="326" spans="1:13">
      <c r="A326" t="s">
        <v>181</v>
      </c>
      <c r="B326" t="s">
        <v>182</v>
      </c>
      <c r="C326" s="1">
        <v>40024</v>
      </c>
      <c r="D326" t="s">
        <v>148</v>
      </c>
      <c r="E326" t="s">
        <v>53</v>
      </c>
      <c r="F326" t="s">
        <v>16</v>
      </c>
      <c r="G326" t="s">
        <v>17</v>
      </c>
      <c r="H326" t="s">
        <v>183</v>
      </c>
      <c r="J326" t="s">
        <v>184</v>
      </c>
      <c r="K326" s="2">
        <v>24</v>
      </c>
      <c r="L326">
        <v>5</v>
      </c>
      <c r="M326">
        <f t="shared" si="5"/>
        <v>120</v>
      </c>
    </row>
    <row r="327" spans="1:13">
      <c r="A327" t="s">
        <v>181</v>
      </c>
      <c r="B327" t="s">
        <v>182</v>
      </c>
      <c r="C327" s="1">
        <v>39488</v>
      </c>
      <c r="D327" t="s">
        <v>95</v>
      </c>
      <c r="E327" t="s">
        <v>15</v>
      </c>
      <c r="F327" t="s">
        <v>27</v>
      </c>
      <c r="G327" t="s">
        <v>39</v>
      </c>
      <c r="H327" t="s">
        <v>183</v>
      </c>
      <c r="J327" t="s">
        <v>184</v>
      </c>
      <c r="K327" s="2">
        <v>21.05</v>
      </c>
      <c r="L327">
        <v>10</v>
      </c>
      <c r="M327">
        <f t="shared" si="5"/>
        <v>210.5</v>
      </c>
    </row>
    <row r="328" spans="1:13">
      <c r="A328" t="s">
        <v>181</v>
      </c>
      <c r="B328" t="s">
        <v>182</v>
      </c>
      <c r="C328" s="1">
        <v>39488</v>
      </c>
      <c r="D328" t="s">
        <v>96</v>
      </c>
      <c r="E328" t="s">
        <v>15</v>
      </c>
      <c r="F328" t="s">
        <v>97</v>
      </c>
      <c r="G328" t="s">
        <v>39</v>
      </c>
      <c r="H328" t="s">
        <v>183</v>
      </c>
      <c r="J328" t="s">
        <v>184</v>
      </c>
      <c r="K328" s="2">
        <v>18</v>
      </c>
      <c r="L328">
        <v>10</v>
      </c>
      <c r="M328">
        <f t="shared" si="5"/>
        <v>180</v>
      </c>
    </row>
    <row r="329" spans="1:13">
      <c r="A329" t="s">
        <v>181</v>
      </c>
      <c r="B329" t="s">
        <v>182</v>
      </c>
      <c r="C329" s="1">
        <v>39545</v>
      </c>
      <c r="D329" t="s">
        <v>52</v>
      </c>
      <c r="E329" t="s">
        <v>53</v>
      </c>
      <c r="F329" t="s">
        <v>54</v>
      </c>
      <c r="G329" t="s">
        <v>39</v>
      </c>
      <c r="H329" t="s">
        <v>183</v>
      </c>
      <c r="J329" t="s">
        <v>184</v>
      </c>
      <c r="K329" s="2">
        <v>55</v>
      </c>
      <c r="L329">
        <v>10</v>
      </c>
      <c r="M329">
        <f t="shared" si="5"/>
        <v>550</v>
      </c>
    </row>
    <row r="330" spans="1:13">
      <c r="A330" t="s">
        <v>181</v>
      </c>
      <c r="B330" t="s">
        <v>182</v>
      </c>
      <c r="C330" s="1">
        <v>39488</v>
      </c>
      <c r="D330" t="s">
        <v>185</v>
      </c>
      <c r="E330" t="s">
        <v>15</v>
      </c>
      <c r="F330" t="s">
        <v>134</v>
      </c>
      <c r="G330" t="s">
        <v>39</v>
      </c>
      <c r="H330" t="s">
        <v>183</v>
      </c>
      <c r="J330" t="s">
        <v>184</v>
      </c>
      <c r="K330" s="2">
        <v>18.399999999999999</v>
      </c>
      <c r="L330">
        <v>12</v>
      </c>
      <c r="M330">
        <f t="shared" si="5"/>
        <v>220.79999999999998</v>
      </c>
    </row>
    <row r="331" spans="1:13">
      <c r="A331" t="s">
        <v>181</v>
      </c>
      <c r="B331" t="s">
        <v>182</v>
      </c>
      <c r="C331" s="1">
        <v>39696</v>
      </c>
      <c r="D331" t="s">
        <v>68</v>
      </c>
      <c r="E331" t="s">
        <v>21</v>
      </c>
      <c r="F331" t="s">
        <v>69</v>
      </c>
      <c r="G331" t="s">
        <v>17</v>
      </c>
      <c r="H331" t="s">
        <v>183</v>
      </c>
      <c r="J331" t="s">
        <v>184</v>
      </c>
      <c r="K331" s="2">
        <v>10.6</v>
      </c>
      <c r="L331">
        <v>15</v>
      </c>
      <c r="M331">
        <f t="shared" si="5"/>
        <v>159</v>
      </c>
    </row>
    <row r="332" spans="1:13">
      <c r="A332" t="s">
        <v>181</v>
      </c>
      <c r="B332" t="s">
        <v>182</v>
      </c>
      <c r="C332" s="1">
        <v>40093</v>
      </c>
      <c r="D332" t="s">
        <v>98</v>
      </c>
      <c r="E332" t="s">
        <v>50</v>
      </c>
      <c r="F332" t="s">
        <v>99</v>
      </c>
      <c r="G332" t="s">
        <v>17</v>
      </c>
      <c r="H332" t="s">
        <v>183</v>
      </c>
      <c r="J332" t="s">
        <v>184</v>
      </c>
      <c r="K332" s="2">
        <v>4.5</v>
      </c>
      <c r="L332">
        <v>20</v>
      </c>
      <c r="M332">
        <f t="shared" si="5"/>
        <v>90</v>
      </c>
    </row>
    <row r="333" spans="1:13">
      <c r="A333" t="s">
        <v>181</v>
      </c>
      <c r="B333" t="s">
        <v>182</v>
      </c>
      <c r="C333" s="1">
        <v>40093</v>
      </c>
      <c r="D333" t="s">
        <v>154</v>
      </c>
      <c r="E333" t="s">
        <v>50</v>
      </c>
      <c r="F333" t="s">
        <v>132</v>
      </c>
      <c r="G333" t="s">
        <v>17</v>
      </c>
      <c r="H333" t="s">
        <v>183</v>
      </c>
      <c r="J333" t="s">
        <v>184</v>
      </c>
      <c r="K333" s="2">
        <v>38</v>
      </c>
      <c r="L333">
        <v>4</v>
      </c>
      <c r="M333">
        <f t="shared" si="5"/>
        <v>152</v>
      </c>
    </row>
    <row r="334" spans="1:13">
      <c r="A334" t="s">
        <v>181</v>
      </c>
      <c r="B334" t="s">
        <v>182</v>
      </c>
      <c r="C334" s="1">
        <v>40093</v>
      </c>
      <c r="D334" t="s">
        <v>23</v>
      </c>
      <c r="E334" t="s">
        <v>50</v>
      </c>
      <c r="F334" t="s">
        <v>25</v>
      </c>
      <c r="G334" t="s">
        <v>17</v>
      </c>
      <c r="H334" t="s">
        <v>183</v>
      </c>
      <c r="J334" t="s">
        <v>184</v>
      </c>
      <c r="K334" s="2">
        <v>40</v>
      </c>
      <c r="L334">
        <v>10</v>
      </c>
      <c r="M334">
        <f t="shared" si="5"/>
        <v>400</v>
      </c>
    </row>
    <row r="335" spans="1:13">
      <c r="A335" t="s">
        <v>181</v>
      </c>
      <c r="B335" t="s">
        <v>182</v>
      </c>
      <c r="C335" s="1">
        <v>39484</v>
      </c>
      <c r="D335" t="s">
        <v>34</v>
      </c>
      <c r="E335" t="s">
        <v>24</v>
      </c>
      <c r="F335" t="s">
        <v>35</v>
      </c>
      <c r="G335" t="s">
        <v>39</v>
      </c>
      <c r="H335" t="s">
        <v>183</v>
      </c>
      <c r="J335" t="s">
        <v>184</v>
      </c>
      <c r="K335" s="2">
        <v>10</v>
      </c>
      <c r="L335">
        <v>20</v>
      </c>
      <c r="M335">
        <f t="shared" si="5"/>
        <v>200</v>
      </c>
    </row>
    <row r="336" spans="1:13">
      <c r="A336" t="s">
        <v>181</v>
      </c>
      <c r="B336" t="s">
        <v>182</v>
      </c>
      <c r="C336" s="1">
        <v>39545</v>
      </c>
      <c r="D336" t="s">
        <v>111</v>
      </c>
      <c r="E336" t="s">
        <v>53</v>
      </c>
      <c r="F336" t="s">
        <v>37</v>
      </c>
      <c r="G336" t="s">
        <v>39</v>
      </c>
      <c r="H336" t="s">
        <v>183</v>
      </c>
      <c r="J336" t="s">
        <v>184</v>
      </c>
      <c r="K336" s="2">
        <v>18</v>
      </c>
      <c r="L336">
        <v>2</v>
      </c>
      <c r="M336">
        <f t="shared" si="5"/>
        <v>36</v>
      </c>
    </row>
    <row r="337" spans="1:13">
      <c r="A337" t="s">
        <v>181</v>
      </c>
      <c r="B337" t="s">
        <v>182</v>
      </c>
      <c r="C337" s="1">
        <v>39484</v>
      </c>
      <c r="D337" t="s">
        <v>77</v>
      </c>
      <c r="E337" t="s">
        <v>24</v>
      </c>
      <c r="F337" t="s">
        <v>51</v>
      </c>
      <c r="G337" t="s">
        <v>39</v>
      </c>
      <c r="H337" t="s">
        <v>183</v>
      </c>
      <c r="J337" t="s">
        <v>184</v>
      </c>
      <c r="K337" s="2">
        <v>45.6</v>
      </c>
      <c r="L337">
        <v>3</v>
      </c>
      <c r="M337">
        <f t="shared" si="5"/>
        <v>136.80000000000001</v>
      </c>
    </row>
    <row r="338" spans="1:13">
      <c r="A338" t="s">
        <v>181</v>
      </c>
      <c r="B338" t="s">
        <v>182</v>
      </c>
      <c r="C338" s="1">
        <v>40019</v>
      </c>
      <c r="D338" t="s">
        <v>36</v>
      </c>
      <c r="E338" t="s">
        <v>89</v>
      </c>
      <c r="F338" t="s">
        <v>37</v>
      </c>
      <c r="G338" t="s">
        <v>17</v>
      </c>
      <c r="H338" t="s">
        <v>183</v>
      </c>
      <c r="J338" t="s">
        <v>184</v>
      </c>
      <c r="K338" s="2">
        <v>19</v>
      </c>
      <c r="L338">
        <v>10</v>
      </c>
      <c r="M338">
        <f t="shared" si="5"/>
        <v>190</v>
      </c>
    </row>
    <row r="339" spans="1:13">
      <c r="A339" t="s">
        <v>181</v>
      </c>
      <c r="B339" t="s">
        <v>182</v>
      </c>
      <c r="C339" s="1">
        <v>39541</v>
      </c>
      <c r="D339" t="s">
        <v>98</v>
      </c>
      <c r="E339" t="s">
        <v>67</v>
      </c>
      <c r="F339" t="s">
        <v>99</v>
      </c>
      <c r="G339" t="s">
        <v>39</v>
      </c>
      <c r="H339" t="s">
        <v>183</v>
      </c>
      <c r="J339" t="s">
        <v>184</v>
      </c>
      <c r="K339" s="2">
        <v>4.5</v>
      </c>
      <c r="L339">
        <v>12</v>
      </c>
      <c r="M339">
        <f t="shared" si="5"/>
        <v>54</v>
      </c>
    </row>
    <row r="340" spans="1:13">
      <c r="A340" t="s">
        <v>181</v>
      </c>
      <c r="B340" t="s">
        <v>182</v>
      </c>
      <c r="C340" s="1">
        <v>39541</v>
      </c>
      <c r="D340" t="s">
        <v>28</v>
      </c>
      <c r="E340" t="s">
        <v>67</v>
      </c>
      <c r="F340" t="s">
        <v>29</v>
      </c>
      <c r="G340" t="s">
        <v>39</v>
      </c>
      <c r="H340" t="s">
        <v>183</v>
      </c>
      <c r="J340" t="s">
        <v>184</v>
      </c>
      <c r="K340" s="2">
        <v>28.5</v>
      </c>
      <c r="L340">
        <v>7</v>
      </c>
      <c r="M340">
        <f t="shared" si="5"/>
        <v>199.5</v>
      </c>
    </row>
    <row r="341" spans="1:13">
      <c r="A341" t="s">
        <v>181</v>
      </c>
      <c r="B341" t="s">
        <v>182</v>
      </c>
      <c r="C341" s="1">
        <v>39541</v>
      </c>
      <c r="D341" t="s">
        <v>179</v>
      </c>
      <c r="E341" t="s">
        <v>67</v>
      </c>
      <c r="F341" t="s">
        <v>47</v>
      </c>
      <c r="G341" t="s">
        <v>39</v>
      </c>
      <c r="H341" t="s">
        <v>183</v>
      </c>
      <c r="J341" t="s">
        <v>184</v>
      </c>
      <c r="K341" s="2">
        <v>10</v>
      </c>
      <c r="L341">
        <v>20</v>
      </c>
      <c r="M341">
        <f t="shared" si="5"/>
        <v>200</v>
      </c>
    </row>
    <row r="342" spans="1:13">
      <c r="A342" t="s">
        <v>181</v>
      </c>
      <c r="B342" t="s">
        <v>182</v>
      </c>
      <c r="C342" s="1">
        <v>39541</v>
      </c>
      <c r="D342" t="s">
        <v>71</v>
      </c>
      <c r="E342" t="s">
        <v>67</v>
      </c>
      <c r="F342" t="s">
        <v>51</v>
      </c>
      <c r="G342" t="s">
        <v>39</v>
      </c>
      <c r="H342" t="s">
        <v>183</v>
      </c>
      <c r="J342" t="s">
        <v>184</v>
      </c>
      <c r="K342" s="2">
        <v>7.75</v>
      </c>
      <c r="L342">
        <v>30</v>
      </c>
      <c r="M342">
        <f t="shared" si="5"/>
        <v>232.5</v>
      </c>
    </row>
    <row r="343" spans="1:13">
      <c r="A343" t="s">
        <v>181</v>
      </c>
      <c r="B343" t="s">
        <v>182</v>
      </c>
      <c r="C343" s="1">
        <v>39503</v>
      </c>
      <c r="D343" t="s">
        <v>28</v>
      </c>
      <c r="E343" t="s">
        <v>24</v>
      </c>
      <c r="F343" t="s">
        <v>29</v>
      </c>
      <c r="G343" t="s">
        <v>39</v>
      </c>
      <c r="H343" t="s">
        <v>183</v>
      </c>
      <c r="J343" t="s">
        <v>184</v>
      </c>
      <c r="K343" s="2">
        <v>28.5</v>
      </c>
      <c r="L343">
        <v>15</v>
      </c>
      <c r="M343">
        <f t="shared" si="5"/>
        <v>427.5</v>
      </c>
    </row>
    <row r="344" spans="1:13">
      <c r="A344" t="s">
        <v>186</v>
      </c>
      <c r="B344" t="s">
        <v>187</v>
      </c>
      <c r="C344" s="1">
        <v>39449</v>
      </c>
      <c r="D344" t="s">
        <v>49</v>
      </c>
      <c r="E344" t="s">
        <v>66</v>
      </c>
      <c r="F344" t="s">
        <v>51</v>
      </c>
      <c r="G344" t="s">
        <v>39</v>
      </c>
      <c r="H344" t="s">
        <v>106</v>
      </c>
      <c r="I344" t="s">
        <v>107</v>
      </c>
      <c r="J344" t="s">
        <v>108</v>
      </c>
      <c r="K344" s="2">
        <v>13</v>
      </c>
      <c r="L344">
        <v>20</v>
      </c>
      <c r="M344">
        <f t="shared" si="5"/>
        <v>260</v>
      </c>
    </row>
    <row r="345" spans="1:13">
      <c r="A345" t="s">
        <v>186</v>
      </c>
      <c r="B345" t="s">
        <v>187</v>
      </c>
      <c r="C345" s="1">
        <v>40059</v>
      </c>
      <c r="D345" t="s">
        <v>133</v>
      </c>
      <c r="E345" t="s">
        <v>21</v>
      </c>
      <c r="F345" t="s">
        <v>134</v>
      </c>
      <c r="G345" t="s">
        <v>17</v>
      </c>
      <c r="H345" t="s">
        <v>106</v>
      </c>
      <c r="I345" t="s">
        <v>107</v>
      </c>
      <c r="J345" t="s">
        <v>108</v>
      </c>
      <c r="K345" s="2">
        <v>9.65</v>
      </c>
      <c r="L345">
        <v>20</v>
      </c>
      <c r="M345">
        <f t="shared" si="5"/>
        <v>193</v>
      </c>
    </row>
    <row r="346" spans="1:13">
      <c r="A346" t="s">
        <v>186</v>
      </c>
      <c r="B346" t="s">
        <v>187</v>
      </c>
      <c r="C346" s="1">
        <v>39973</v>
      </c>
      <c r="D346" t="s">
        <v>38</v>
      </c>
      <c r="E346" t="s">
        <v>21</v>
      </c>
      <c r="F346" t="s">
        <v>29</v>
      </c>
      <c r="G346" t="s">
        <v>17</v>
      </c>
      <c r="H346" t="s">
        <v>106</v>
      </c>
      <c r="I346" t="s">
        <v>107</v>
      </c>
      <c r="J346" t="s">
        <v>108</v>
      </c>
      <c r="K346" s="2">
        <v>49.3</v>
      </c>
      <c r="L346">
        <v>10</v>
      </c>
      <c r="M346">
        <f t="shared" si="5"/>
        <v>493</v>
      </c>
    </row>
    <row r="347" spans="1:13">
      <c r="A347" t="s">
        <v>186</v>
      </c>
      <c r="B347" t="s">
        <v>187</v>
      </c>
      <c r="C347" s="1">
        <v>39973</v>
      </c>
      <c r="D347" t="s">
        <v>40</v>
      </c>
      <c r="E347" t="s">
        <v>21</v>
      </c>
      <c r="F347" t="s">
        <v>41</v>
      </c>
      <c r="G347" t="s">
        <v>17</v>
      </c>
      <c r="H347" t="s">
        <v>106</v>
      </c>
      <c r="I347" t="s">
        <v>107</v>
      </c>
      <c r="J347" t="s">
        <v>108</v>
      </c>
      <c r="K347" s="2">
        <v>2.5</v>
      </c>
      <c r="L347">
        <v>20</v>
      </c>
      <c r="M347">
        <f t="shared" si="5"/>
        <v>50</v>
      </c>
    </row>
    <row r="348" spans="1:13">
      <c r="A348" t="s">
        <v>186</v>
      </c>
      <c r="B348" t="s">
        <v>187</v>
      </c>
      <c r="C348" s="1">
        <v>39841</v>
      </c>
      <c r="D348" t="s">
        <v>70</v>
      </c>
      <c r="E348" t="s">
        <v>50</v>
      </c>
      <c r="F348" t="s">
        <v>61</v>
      </c>
      <c r="G348" t="s">
        <v>17</v>
      </c>
      <c r="H348" t="s">
        <v>106</v>
      </c>
      <c r="I348" t="s">
        <v>107</v>
      </c>
      <c r="J348" t="s">
        <v>108</v>
      </c>
      <c r="K348" s="2">
        <v>9.6</v>
      </c>
      <c r="L348">
        <v>20</v>
      </c>
      <c r="M348">
        <f t="shared" si="5"/>
        <v>192</v>
      </c>
    </row>
    <row r="349" spans="1:13">
      <c r="A349" t="s">
        <v>186</v>
      </c>
      <c r="B349" t="s">
        <v>187</v>
      </c>
      <c r="C349" s="1">
        <v>40089</v>
      </c>
      <c r="D349" t="s">
        <v>48</v>
      </c>
      <c r="E349" t="s">
        <v>53</v>
      </c>
      <c r="F349" t="s">
        <v>22</v>
      </c>
      <c r="G349" t="s">
        <v>17</v>
      </c>
      <c r="H349" t="s">
        <v>106</v>
      </c>
      <c r="I349" t="s">
        <v>107</v>
      </c>
      <c r="J349" t="s">
        <v>108</v>
      </c>
      <c r="K349" s="2">
        <v>39</v>
      </c>
      <c r="L349">
        <v>20</v>
      </c>
      <c r="M349">
        <f t="shared" si="5"/>
        <v>780</v>
      </c>
    </row>
    <row r="350" spans="1:13">
      <c r="A350" t="s">
        <v>186</v>
      </c>
      <c r="B350" t="s">
        <v>187</v>
      </c>
      <c r="C350" s="1">
        <v>40089</v>
      </c>
      <c r="D350" t="s">
        <v>62</v>
      </c>
      <c r="E350" t="s">
        <v>53</v>
      </c>
      <c r="F350" t="s">
        <v>63</v>
      </c>
      <c r="G350" t="s">
        <v>17</v>
      </c>
      <c r="H350" t="s">
        <v>106</v>
      </c>
      <c r="I350" t="s">
        <v>107</v>
      </c>
      <c r="J350" t="s">
        <v>108</v>
      </c>
      <c r="K350" s="2">
        <v>38</v>
      </c>
      <c r="L350">
        <v>10</v>
      </c>
      <c r="M350">
        <f t="shared" si="5"/>
        <v>380</v>
      </c>
    </row>
    <row r="351" spans="1:13">
      <c r="A351" t="s">
        <v>186</v>
      </c>
      <c r="B351" t="s">
        <v>187</v>
      </c>
      <c r="C351" s="1">
        <v>40089</v>
      </c>
      <c r="D351" t="s">
        <v>52</v>
      </c>
      <c r="E351" t="s">
        <v>53</v>
      </c>
      <c r="F351" t="s">
        <v>54</v>
      </c>
      <c r="G351" t="s">
        <v>17</v>
      </c>
      <c r="H351" t="s">
        <v>106</v>
      </c>
      <c r="I351" t="s">
        <v>107</v>
      </c>
      <c r="J351" t="s">
        <v>108</v>
      </c>
      <c r="K351" s="2">
        <v>55</v>
      </c>
      <c r="L351">
        <v>10</v>
      </c>
      <c r="M351">
        <f t="shared" si="5"/>
        <v>550</v>
      </c>
    </row>
    <row r="352" spans="1:13">
      <c r="A352" t="s">
        <v>186</v>
      </c>
      <c r="B352" t="s">
        <v>187</v>
      </c>
      <c r="C352" s="1">
        <v>39683</v>
      </c>
      <c r="D352" t="s">
        <v>82</v>
      </c>
      <c r="E352" t="s">
        <v>24</v>
      </c>
      <c r="F352" t="s">
        <v>35</v>
      </c>
      <c r="G352" t="s">
        <v>17</v>
      </c>
      <c r="H352" t="s">
        <v>106</v>
      </c>
      <c r="I352" t="s">
        <v>107</v>
      </c>
      <c r="J352" t="s">
        <v>108</v>
      </c>
      <c r="K352" s="2">
        <v>10</v>
      </c>
      <c r="L352">
        <v>3</v>
      </c>
      <c r="M352">
        <f t="shared" si="5"/>
        <v>30</v>
      </c>
    </row>
    <row r="353" spans="1:13">
      <c r="A353" t="s">
        <v>186</v>
      </c>
      <c r="B353" t="s">
        <v>187</v>
      </c>
      <c r="C353" s="1">
        <v>39568</v>
      </c>
      <c r="D353" t="s">
        <v>32</v>
      </c>
      <c r="E353" t="s">
        <v>24</v>
      </c>
      <c r="F353" t="s">
        <v>33</v>
      </c>
      <c r="G353" t="s">
        <v>39</v>
      </c>
      <c r="H353" t="s">
        <v>106</v>
      </c>
      <c r="I353" t="s">
        <v>107</v>
      </c>
      <c r="J353" t="s">
        <v>108</v>
      </c>
      <c r="K353" s="2">
        <v>32.799999999999997</v>
      </c>
      <c r="L353">
        <v>10</v>
      </c>
      <c r="M353">
        <f t="shared" si="5"/>
        <v>328</v>
      </c>
    </row>
    <row r="354" spans="1:13">
      <c r="A354" t="s">
        <v>186</v>
      </c>
      <c r="B354" t="s">
        <v>187</v>
      </c>
      <c r="C354" s="1">
        <v>39504</v>
      </c>
      <c r="D354" t="s">
        <v>120</v>
      </c>
      <c r="E354" t="s">
        <v>24</v>
      </c>
      <c r="F354" t="s">
        <v>33</v>
      </c>
      <c r="G354" t="s">
        <v>39</v>
      </c>
      <c r="H354" t="s">
        <v>106</v>
      </c>
      <c r="I354" t="s">
        <v>107</v>
      </c>
      <c r="J354" t="s">
        <v>108</v>
      </c>
      <c r="K354" s="2">
        <v>7</v>
      </c>
      <c r="L354">
        <v>14</v>
      </c>
      <c r="M354">
        <f t="shared" si="5"/>
        <v>98</v>
      </c>
    </row>
    <row r="355" spans="1:13">
      <c r="A355" t="s">
        <v>186</v>
      </c>
      <c r="B355" t="s">
        <v>187</v>
      </c>
      <c r="C355" s="1">
        <v>39853</v>
      </c>
      <c r="D355" t="s">
        <v>77</v>
      </c>
      <c r="E355" t="s">
        <v>67</v>
      </c>
      <c r="F355" t="s">
        <v>51</v>
      </c>
      <c r="G355" t="s">
        <v>17</v>
      </c>
      <c r="H355" t="s">
        <v>106</v>
      </c>
      <c r="I355" t="s">
        <v>107</v>
      </c>
      <c r="J355" t="s">
        <v>108</v>
      </c>
      <c r="K355" s="2">
        <v>36.4</v>
      </c>
      <c r="L355">
        <v>12</v>
      </c>
      <c r="M355">
        <f t="shared" si="5"/>
        <v>436.79999999999995</v>
      </c>
    </row>
    <row r="356" spans="1:13">
      <c r="A356" t="s">
        <v>186</v>
      </c>
      <c r="B356" t="s">
        <v>187</v>
      </c>
      <c r="C356" s="1">
        <v>39996</v>
      </c>
      <c r="D356" t="s">
        <v>120</v>
      </c>
      <c r="E356" t="s">
        <v>103</v>
      </c>
      <c r="F356" t="s">
        <v>33</v>
      </c>
      <c r="G356" t="s">
        <v>17</v>
      </c>
      <c r="H356" t="s">
        <v>106</v>
      </c>
      <c r="I356" t="s">
        <v>107</v>
      </c>
      <c r="J356" t="s">
        <v>108</v>
      </c>
      <c r="K356" s="2">
        <v>7</v>
      </c>
      <c r="L356">
        <v>4</v>
      </c>
      <c r="M356">
        <f t="shared" si="5"/>
        <v>28</v>
      </c>
    </row>
    <row r="357" spans="1:13">
      <c r="A357" t="s">
        <v>186</v>
      </c>
      <c r="B357" t="s">
        <v>187</v>
      </c>
      <c r="C357" s="1">
        <v>39449</v>
      </c>
      <c r="D357" t="s">
        <v>75</v>
      </c>
      <c r="E357" t="s">
        <v>66</v>
      </c>
      <c r="F357" t="s">
        <v>76</v>
      </c>
      <c r="G357" t="s">
        <v>39</v>
      </c>
      <c r="H357" t="s">
        <v>106</v>
      </c>
      <c r="I357" t="s">
        <v>107</v>
      </c>
      <c r="J357" t="s">
        <v>108</v>
      </c>
      <c r="K357" s="2">
        <v>34.799999999999997</v>
      </c>
      <c r="L357">
        <v>40</v>
      </c>
      <c r="M357">
        <f t="shared" si="5"/>
        <v>1392</v>
      </c>
    </row>
    <row r="358" spans="1:13">
      <c r="A358" t="s">
        <v>186</v>
      </c>
      <c r="B358" t="s">
        <v>187</v>
      </c>
      <c r="C358" s="1">
        <v>39517</v>
      </c>
      <c r="D358" t="s">
        <v>119</v>
      </c>
      <c r="E358" t="s">
        <v>103</v>
      </c>
      <c r="F358" t="s">
        <v>97</v>
      </c>
      <c r="G358" t="s">
        <v>39</v>
      </c>
      <c r="H358" t="s">
        <v>106</v>
      </c>
      <c r="I358" t="s">
        <v>107</v>
      </c>
      <c r="J358" t="s">
        <v>108</v>
      </c>
      <c r="K358" s="2">
        <v>20</v>
      </c>
      <c r="L358">
        <v>28</v>
      </c>
      <c r="M358">
        <f t="shared" si="5"/>
        <v>560</v>
      </c>
    </row>
    <row r="359" spans="1:13">
      <c r="A359" t="s">
        <v>186</v>
      </c>
      <c r="B359" t="s">
        <v>187</v>
      </c>
      <c r="C359" s="1">
        <v>39547</v>
      </c>
      <c r="D359" t="s">
        <v>87</v>
      </c>
      <c r="E359" t="s">
        <v>53</v>
      </c>
      <c r="F359" t="s">
        <v>25</v>
      </c>
      <c r="G359" t="s">
        <v>39</v>
      </c>
      <c r="H359" t="s">
        <v>106</v>
      </c>
      <c r="I359" t="s">
        <v>107</v>
      </c>
      <c r="J359" t="s">
        <v>108</v>
      </c>
      <c r="K359" s="2">
        <v>30</v>
      </c>
      <c r="L359">
        <v>20</v>
      </c>
      <c r="M359">
        <f t="shared" si="5"/>
        <v>600</v>
      </c>
    </row>
    <row r="360" spans="1:13">
      <c r="A360" t="s">
        <v>186</v>
      </c>
      <c r="B360" t="s">
        <v>187</v>
      </c>
      <c r="C360" s="1">
        <v>39547</v>
      </c>
      <c r="D360" t="s">
        <v>98</v>
      </c>
      <c r="E360" t="s">
        <v>53</v>
      </c>
      <c r="F360" t="s">
        <v>99</v>
      </c>
      <c r="G360" t="s">
        <v>39</v>
      </c>
      <c r="H360" t="s">
        <v>106</v>
      </c>
      <c r="I360" t="s">
        <v>107</v>
      </c>
      <c r="J360" t="s">
        <v>108</v>
      </c>
      <c r="K360" s="2">
        <v>4.5</v>
      </c>
      <c r="L360">
        <v>10</v>
      </c>
      <c r="M360">
        <f t="shared" si="5"/>
        <v>45</v>
      </c>
    </row>
    <row r="361" spans="1:13">
      <c r="A361" t="s">
        <v>186</v>
      </c>
      <c r="B361" t="s">
        <v>187</v>
      </c>
      <c r="C361" s="1">
        <v>39449</v>
      </c>
      <c r="D361" t="s">
        <v>137</v>
      </c>
      <c r="E361" t="s">
        <v>66</v>
      </c>
      <c r="F361" t="s">
        <v>76</v>
      </c>
      <c r="G361" t="s">
        <v>39</v>
      </c>
      <c r="H361" t="s">
        <v>106</v>
      </c>
      <c r="I361" t="s">
        <v>107</v>
      </c>
      <c r="J361" t="s">
        <v>108</v>
      </c>
      <c r="K361" s="2">
        <v>12.5</v>
      </c>
      <c r="L361">
        <v>16</v>
      </c>
      <c r="M361">
        <f t="shared" si="5"/>
        <v>200</v>
      </c>
    </row>
    <row r="362" spans="1:13">
      <c r="A362" t="s">
        <v>186</v>
      </c>
      <c r="B362" t="s">
        <v>187</v>
      </c>
      <c r="C362" s="1">
        <v>39504</v>
      </c>
      <c r="D362" t="s">
        <v>87</v>
      </c>
      <c r="E362" t="s">
        <v>24</v>
      </c>
      <c r="F362" t="s">
        <v>25</v>
      </c>
      <c r="G362" t="s">
        <v>39</v>
      </c>
      <c r="H362" t="s">
        <v>106</v>
      </c>
      <c r="I362" t="s">
        <v>107</v>
      </c>
      <c r="J362" t="s">
        <v>108</v>
      </c>
      <c r="K362" s="2">
        <v>30</v>
      </c>
      <c r="L362">
        <v>20</v>
      </c>
      <c r="M362">
        <f t="shared" si="5"/>
        <v>600</v>
      </c>
    </row>
    <row r="363" spans="1:13">
      <c r="A363" t="s">
        <v>186</v>
      </c>
      <c r="B363" t="s">
        <v>187</v>
      </c>
      <c r="C363" s="1">
        <v>39683</v>
      </c>
      <c r="D363" t="s">
        <v>14</v>
      </c>
      <c r="E363" t="s">
        <v>24</v>
      </c>
      <c r="F363" t="s">
        <v>16</v>
      </c>
      <c r="G363" t="s">
        <v>17</v>
      </c>
      <c r="H363" t="s">
        <v>106</v>
      </c>
      <c r="I363" t="s">
        <v>107</v>
      </c>
      <c r="J363" t="s">
        <v>108</v>
      </c>
      <c r="K363" s="2">
        <v>5.9</v>
      </c>
      <c r="L363">
        <v>10</v>
      </c>
      <c r="M363">
        <f t="shared" si="5"/>
        <v>59</v>
      </c>
    </row>
    <row r="364" spans="1:13">
      <c r="A364" t="s">
        <v>186</v>
      </c>
      <c r="B364" t="s">
        <v>187</v>
      </c>
      <c r="C364" s="1">
        <v>39568</v>
      </c>
      <c r="D364" t="s">
        <v>116</v>
      </c>
      <c r="E364" t="s">
        <v>24</v>
      </c>
      <c r="F364" t="s">
        <v>22</v>
      </c>
      <c r="G364" t="s">
        <v>39</v>
      </c>
      <c r="H364" t="s">
        <v>106</v>
      </c>
      <c r="I364" t="s">
        <v>107</v>
      </c>
      <c r="J364" t="s">
        <v>108</v>
      </c>
      <c r="K364" s="2">
        <v>15</v>
      </c>
      <c r="L364">
        <v>12</v>
      </c>
      <c r="M364">
        <f t="shared" si="5"/>
        <v>180</v>
      </c>
    </row>
    <row r="365" spans="1:13">
      <c r="A365" t="s">
        <v>186</v>
      </c>
      <c r="B365" t="s">
        <v>187</v>
      </c>
      <c r="C365" s="1">
        <v>39853</v>
      </c>
      <c r="D365" t="s">
        <v>131</v>
      </c>
      <c r="E365" t="s">
        <v>67</v>
      </c>
      <c r="F365" t="s">
        <v>132</v>
      </c>
      <c r="G365" t="s">
        <v>17</v>
      </c>
      <c r="H365" t="s">
        <v>106</v>
      </c>
      <c r="I365" t="s">
        <v>107</v>
      </c>
      <c r="J365" t="s">
        <v>108</v>
      </c>
      <c r="K365" s="2">
        <v>16.8</v>
      </c>
      <c r="L365">
        <v>6</v>
      </c>
      <c r="M365">
        <f t="shared" si="5"/>
        <v>100.80000000000001</v>
      </c>
    </row>
    <row r="366" spans="1:13">
      <c r="A366" t="s">
        <v>188</v>
      </c>
      <c r="B366" t="s">
        <v>189</v>
      </c>
      <c r="C366" s="1">
        <v>39849</v>
      </c>
      <c r="D366" t="s">
        <v>32</v>
      </c>
      <c r="E366" t="s">
        <v>67</v>
      </c>
      <c r="F366" t="s">
        <v>33</v>
      </c>
      <c r="G366" t="s">
        <v>17</v>
      </c>
      <c r="H366" t="s">
        <v>106</v>
      </c>
      <c r="I366" t="s">
        <v>190</v>
      </c>
      <c r="J366" t="s">
        <v>191</v>
      </c>
      <c r="K366" s="2">
        <v>26.2</v>
      </c>
      <c r="L366">
        <v>15</v>
      </c>
      <c r="M366">
        <f t="shared" si="5"/>
        <v>393</v>
      </c>
    </row>
    <row r="367" spans="1:13">
      <c r="A367" t="s">
        <v>188</v>
      </c>
      <c r="B367" t="s">
        <v>189</v>
      </c>
      <c r="C367" s="1">
        <v>39963</v>
      </c>
      <c r="D367" t="s">
        <v>131</v>
      </c>
      <c r="E367" t="s">
        <v>53</v>
      </c>
      <c r="F367" t="s">
        <v>132</v>
      </c>
      <c r="G367" t="s">
        <v>17</v>
      </c>
      <c r="H367" t="s">
        <v>106</v>
      </c>
      <c r="I367" t="s">
        <v>190</v>
      </c>
      <c r="J367" t="s">
        <v>191</v>
      </c>
      <c r="K367" s="2">
        <v>21</v>
      </c>
      <c r="L367">
        <v>15</v>
      </c>
      <c r="M367">
        <f t="shared" si="5"/>
        <v>315</v>
      </c>
    </row>
    <row r="368" spans="1:13">
      <c r="A368" t="s">
        <v>188</v>
      </c>
      <c r="B368" t="s">
        <v>189</v>
      </c>
      <c r="C368" s="1">
        <v>39655</v>
      </c>
      <c r="D368" t="s">
        <v>154</v>
      </c>
      <c r="E368" t="s">
        <v>15</v>
      </c>
      <c r="F368" t="s">
        <v>132</v>
      </c>
      <c r="G368" t="s">
        <v>17</v>
      </c>
      <c r="H368" t="s">
        <v>106</v>
      </c>
      <c r="I368" t="s">
        <v>190</v>
      </c>
      <c r="J368" t="s">
        <v>191</v>
      </c>
      <c r="K368" s="2">
        <v>30.4</v>
      </c>
      <c r="L368">
        <v>12</v>
      </c>
      <c r="M368">
        <f t="shared" si="5"/>
        <v>364.79999999999995</v>
      </c>
    </row>
    <row r="369" spans="1:13">
      <c r="A369" t="s">
        <v>188</v>
      </c>
      <c r="B369" t="s">
        <v>189</v>
      </c>
      <c r="C369" s="1">
        <v>39994</v>
      </c>
      <c r="D369" t="s">
        <v>86</v>
      </c>
      <c r="E369" t="s">
        <v>53</v>
      </c>
      <c r="F369" t="s">
        <v>54</v>
      </c>
      <c r="G369" t="s">
        <v>17</v>
      </c>
      <c r="H369" t="s">
        <v>106</v>
      </c>
      <c r="I369" t="s">
        <v>190</v>
      </c>
      <c r="J369" t="s">
        <v>191</v>
      </c>
      <c r="K369" s="2">
        <v>34</v>
      </c>
      <c r="L369">
        <v>24</v>
      </c>
      <c r="M369">
        <f t="shared" si="5"/>
        <v>816</v>
      </c>
    </row>
    <row r="370" spans="1:13">
      <c r="A370" t="s">
        <v>188</v>
      </c>
      <c r="B370" t="s">
        <v>189</v>
      </c>
      <c r="C370" s="1">
        <v>39739</v>
      </c>
      <c r="D370" t="s">
        <v>34</v>
      </c>
      <c r="E370" t="s">
        <v>66</v>
      </c>
      <c r="F370" t="s">
        <v>35</v>
      </c>
      <c r="G370" t="s">
        <v>17</v>
      </c>
      <c r="H370" t="s">
        <v>106</v>
      </c>
      <c r="I370" t="s">
        <v>190</v>
      </c>
      <c r="J370" t="s">
        <v>191</v>
      </c>
      <c r="K370" s="2">
        <v>8</v>
      </c>
      <c r="L370">
        <v>10</v>
      </c>
      <c r="M370">
        <f t="shared" si="5"/>
        <v>80</v>
      </c>
    </row>
    <row r="371" spans="1:13">
      <c r="A371" t="s">
        <v>188</v>
      </c>
      <c r="B371" t="s">
        <v>189</v>
      </c>
      <c r="C371" s="1">
        <v>39829</v>
      </c>
      <c r="D371" t="s">
        <v>32</v>
      </c>
      <c r="E371" t="s">
        <v>67</v>
      </c>
      <c r="F371" t="s">
        <v>33</v>
      </c>
      <c r="G371" t="s">
        <v>17</v>
      </c>
      <c r="H371" t="s">
        <v>106</v>
      </c>
      <c r="I371" t="s">
        <v>190</v>
      </c>
      <c r="J371" t="s">
        <v>191</v>
      </c>
      <c r="K371" s="2">
        <v>26.2</v>
      </c>
      <c r="L371">
        <v>10</v>
      </c>
      <c r="M371">
        <f t="shared" si="5"/>
        <v>262</v>
      </c>
    </row>
    <row r="372" spans="1:13">
      <c r="A372" t="s">
        <v>188</v>
      </c>
      <c r="B372" t="s">
        <v>189</v>
      </c>
      <c r="C372" s="1">
        <v>39868</v>
      </c>
      <c r="D372" t="s">
        <v>32</v>
      </c>
      <c r="E372" t="s">
        <v>67</v>
      </c>
      <c r="F372" t="s">
        <v>33</v>
      </c>
      <c r="G372" t="s">
        <v>17</v>
      </c>
      <c r="H372" t="s">
        <v>106</v>
      </c>
      <c r="I372" t="s">
        <v>190</v>
      </c>
      <c r="J372" t="s">
        <v>191</v>
      </c>
      <c r="K372" s="2">
        <v>26.2</v>
      </c>
      <c r="L372">
        <v>50</v>
      </c>
      <c r="M372">
        <f t="shared" si="5"/>
        <v>1310</v>
      </c>
    </row>
    <row r="373" spans="1:13">
      <c r="A373" t="s">
        <v>188</v>
      </c>
      <c r="B373" t="s">
        <v>189</v>
      </c>
      <c r="C373" s="1">
        <v>39963</v>
      </c>
      <c r="D373" t="s">
        <v>20</v>
      </c>
      <c r="E373" t="s">
        <v>53</v>
      </c>
      <c r="F373" t="s">
        <v>22</v>
      </c>
      <c r="G373" t="s">
        <v>17</v>
      </c>
      <c r="H373" t="s">
        <v>106</v>
      </c>
      <c r="I373" t="s">
        <v>190</v>
      </c>
      <c r="J373" t="s">
        <v>191</v>
      </c>
      <c r="K373" s="2">
        <v>17.45</v>
      </c>
      <c r="L373">
        <v>14</v>
      </c>
      <c r="M373">
        <f t="shared" si="5"/>
        <v>244.29999999999998</v>
      </c>
    </row>
    <row r="374" spans="1:13">
      <c r="A374" t="s">
        <v>188</v>
      </c>
      <c r="B374" t="s">
        <v>189</v>
      </c>
      <c r="C374" s="1">
        <v>39994</v>
      </c>
      <c r="D374" t="s">
        <v>43</v>
      </c>
      <c r="E374" t="s">
        <v>53</v>
      </c>
      <c r="F374" t="s">
        <v>41</v>
      </c>
      <c r="G374" t="s">
        <v>17</v>
      </c>
      <c r="H374" t="s">
        <v>106</v>
      </c>
      <c r="I374" t="s">
        <v>190</v>
      </c>
      <c r="J374" t="s">
        <v>191</v>
      </c>
      <c r="K374" s="2">
        <v>36</v>
      </c>
      <c r="L374">
        <v>10</v>
      </c>
      <c r="M374">
        <f t="shared" si="5"/>
        <v>360</v>
      </c>
    </row>
    <row r="375" spans="1:13">
      <c r="A375" t="s">
        <v>188</v>
      </c>
      <c r="B375" t="s">
        <v>189</v>
      </c>
      <c r="C375" s="1">
        <v>39829</v>
      </c>
      <c r="D375" t="s">
        <v>123</v>
      </c>
      <c r="E375" t="s">
        <v>67</v>
      </c>
      <c r="F375" t="s">
        <v>63</v>
      </c>
      <c r="G375" t="s">
        <v>17</v>
      </c>
      <c r="H375" t="s">
        <v>106</v>
      </c>
      <c r="I375" t="s">
        <v>190</v>
      </c>
      <c r="J375" t="s">
        <v>191</v>
      </c>
      <c r="K375" s="2">
        <v>15.6</v>
      </c>
      <c r="L375">
        <v>20</v>
      </c>
      <c r="M375">
        <f t="shared" si="5"/>
        <v>312</v>
      </c>
    </row>
    <row r="376" spans="1:13">
      <c r="A376" t="s">
        <v>188</v>
      </c>
      <c r="B376" t="s">
        <v>189</v>
      </c>
      <c r="C376" s="1">
        <v>39868</v>
      </c>
      <c r="D376" t="s">
        <v>121</v>
      </c>
      <c r="E376" t="s">
        <v>67</v>
      </c>
      <c r="F376" t="s">
        <v>41</v>
      </c>
      <c r="G376" t="s">
        <v>17</v>
      </c>
      <c r="H376" t="s">
        <v>106</v>
      </c>
      <c r="I376" t="s">
        <v>190</v>
      </c>
      <c r="J376" t="s">
        <v>191</v>
      </c>
      <c r="K376" s="2">
        <v>17.2</v>
      </c>
      <c r="L376">
        <v>30</v>
      </c>
      <c r="M376">
        <f t="shared" si="5"/>
        <v>516</v>
      </c>
    </row>
    <row r="377" spans="1:13">
      <c r="A377" t="s">
        <v>188</v>
      </c>
      <c r="B377" t="s">
        <v>189</v>
      </c>
      <c r="C377" s="1">
        <v>39994</v>
      </c>
      <c r="D377" t="s">
        <v>88</v>
      </c>
      <c r="E377" t="s">
        <v>53</v>
      </c>
      <c r="F377" t="s">
        <v>51</v>
      </c>
      <c r="G377" t="s">
        <v>17</v>
      </c>
      <c r="H377" t="s">
        <v>106</v>
      </c>
      <c r="I377" t="s">
        <v>190</v>
      </c>
      <c r="J377" t="s">
        <v>191</v>
      </c>
      <c r="K377" s="2">
        <v>123.79</v>
      </c>
      <c r="L377">
        <v>10</v>
      </c>
      <c r="M377">
        <f t="shared" si="5"/>
        <v>1237.9000000000001</v>
      </c>
    </row>
    <row r="378" spans="1:13">
      <c r="A378" t="s">
        <v>188</v>
      </c>
      <c r="B378" t="s">
        <v>189</v>
      </c>
      <c r="C378" s="1">
        <v>39963</v>
      </c>
      <c r="D378" t="s">
        <v>137</v>
      </c>
      <c r="E378" t="s">
        <v>53</v>
      </c>
      <c r="F378" t="s">
        <v>76</v>
      </c>
      <c r="G378" t="s">
        <v>17</v>
      </c>
      <c r="H378" t="s">
        <v>106</v>
      </c>
      <c r="I378" t="s">
        <v>190</v>
      </c>
      <c r="J378" t="s">
        <v>191</v>
      </c>
      <c r="K378" s="2">
        <v>12.5</v>
      </c>
      <c r="L378">
        <v>30</v>
      </c>
      <c r="M378">
        <f t="shared" si="5"/>
        <v>375</v>
      </c>
    </row>
    <row r="379" spans="1:13">
      <c r="A379" t="s">
        <v>188</v>
      </c>
      <c r="B379" t="s">
        <v>189</v>
      </c>
      <c r="C379" s="1">
        <v>39829</v>
      </c>
      <c r="D379" t="s">
        <v>64</v>
      </c>
      <c r="E379" t="s">
        <v>67</v>
      </c>
      <c r="F379" t="s">
        <v>35</v>
      </c>
      <c r="G379" t="s">
        <v>17</v>
      </c>
      <c r="H379" t="s">
        <v>106</v>
      </c>
      <c r="I379" t="s">
        <v>190</v>
      </c>
      <c r="J379" t="s">
        <v>191</v>
      </c>
      <c r="K379" s="2">
        <v>7.3</v>
      </c>
      <c r="L379">
        <v>20</v>
      </c>
      <c r="M379">
        <f t="shared" si="5"/>
        <v>146</v>
      </c>
    </row>
    <row r="380" spans="1:13">
      <c r="A380" t="s">
        <v>188</v>
      </c>
      <c r="B380" t="s">
        <v>189</v>
      </c>
      <c r="C380" s="1">
        <v>39868</v>
      </c>
      <c r="D380" t="s">
        <v>28</v>
      </c>
      <c r="E380" t="s">
        <v>67</v>
      </c>
      <c r="F380" t="s">
        <v>29</v>
      </c>
      <c r="G380" t="s">
        <v>17</v>
      </c>
      <c r="H380" t="s">
        <v>106</v>
      </c>
      <c r="I380" t="s">
        <v>190</v>
      </c>
      <c r="J380" t="s">
        <v>191</v>
      </c>
      <c r="K380" s="2">
        <v>22.8</v>
      </c>
      <c r="L380">
        <v>25</v>
      </c>
      <c r="M380">
        <f t="shared" si="5"/>
        <v>570</v>
      </c>
    </row>
    <row r="381" spans="1:13">
      <c r="A381" t="s">
        <v>188</v>
      </c>
      <c r="B381" t="s">
        <v>189</v>
      </c>
      <c r="C381" s="1">
        <v>39724</v>
      </c>
      <c r="D381" t="s">
        <v>121</v>
      </c>
      <c r="E381" t="s">
        <v>66</v>
      </c>
      <c r="F381" t="s">
        <v>41</v>
      </c>
      <c r="G381" t="s">
        <v>17</v>
      </c>
      <c r="H381" t="s">
        <v>106</v>
      </c>
      <c r="I381" t="s">
        <v>190</v>
      </c>
      <c r="J381" t="s">
        <v>191</v>
      </c>
      <c r="K381" s="2">
        <v>17.2</v>
      </c>
      <c r="L381">
        <v>30</v>
      </c>
      <c r="M381">
        <f t="shared" si="5"/>
        <v>516</v>
      </c>
    </row>
    <row r="382" spans="1:13">
      <c r="A382" t="s">
        <v>188</v>
      </c>
      <c r="B382" t="s">
        <v>189</v>
      </c>
      <c r="C382" s="1">
        <v>40044</v>
      </c>
      <c r="D382" t="s">
        <v>68</v>
      </c>
      <c r="E382" t="s">
        <v>24</v>
      </c>
      <c r="F382" t="s">
        <v>69</v>
      </c>
      <c r="G382" t="s">
        <v>17</v>
      </c>
      <c r="H382" t="s">
        <v>106</v>
      </c>
      <c r="I382" t="s">
        <v>190</v>
      </c>
      <c r="J382" t="s">
        <v>191</v>
      </c>
      <c r="K382" s="2">
        <v>13.25</v>
      </c>
      <c r="L382">
        <v>6</v>
      </c>
      <c r="M382">
        <f t="shared" si="5"/>
        <v>79.5</v>
      </c>
    </row>
    <row r="383" spans="1:13">
      <c r="A383" t="s">
        <v>188</v>
      </c>
      <c r="B383" t="s">
        <v>189</v>
      </c>
      <c r="C383" s="1">
        <v>40044</v>
      </c>
      <c r="D383" t="s">
        <v>26</v>
      </c>
      <c r="E383" t="s">
        <v>24</v>
      </c>
      <c r="F383" t="s">
        <v>27</v>
      </c>
      <c r="G383" t="s">
        <v>17</v>
      </c>
      <c r="H383" t="s">
        <v>106</v>
      </c>
      <c r="I383" t="s">
        <v>190</v>
      </c>
      <c r="J383" t="s">
        <v>191</v>
      </c>
      <c r="K383" s="2">
        <v>22</v>
      </c>
      <c r="L383">
        <v>25</v>
      </c>
      <c r="M383">
        <f t="shared" si="5"/>
        <v>550</v>
      </c>
    </row>
    <row r="384" spans="1:13">
      <c r="A384" t="s">
        <v>188</v>
      </c>
      <c r="B384" t="s">
        <v>189</v>
      </c>
      <c r="C384" s="1">
        <v>39553</v>
      </c>
      <c r="D384" t="s">
        <v>124</v>
      </c>
      <c r="E384" t="s">
        <v>89</v>
      </c>
      <c r="F384" t="s">
        <v>125</v>
      </c>
      <c r="G384" t="s">
        <v>39</v>
      </c>
      <c r="H384" t="s">
        <v>106</v>
      </c>
      <c r="I384" t="s">
        <v>190</v>
      </c>
      <c r="J384" t="s">
        <v>191</v>
      </c>
      <c r="K384" s="2">
        <v>6</v>
      </c>
      <c r="L384">
        <v>20</v>
      </c>
      <c r="M384">
        <f t="shared" si="5"/>
        <v>120</v>
      </c>
    </row>
    <row r="385" spans="1:13">
      <c r="A385" t="s">
        <v>188</v>
      </c>
      <c r="B385" t="s">
        <v>189</v>
      </c>
      <c r="C385" s="1">
        <v>39963</v>
      </c>
      <c r="D385" t="s">
        <v>44</v>
      </c>
      <c r="E385" t="s">
        <v>53</v>
      </c>
      <c r="F385" t="s">
        <v>45</v>
      </c>
      <c r="G385" t="s">
        <v>17</v>
      </c>
      <c r="H385" t="s">
        <v>106</v>
      </c>
      <c r="I385" t="s">
        <v>190</v>
      </c>
      <c r="J385" t="s">
        <v>191</v>
      </c>
      <c r="K385" s="2">
        <v>18</v>
      </c>
      <c r="L385">
        <v>6</v>
      </c>
      <c r="M385">
        <f t="shared" si="5"/>
        <v>108</v>
      </c>
    </row>
    <row r="386" spans="1:13">
      <c r="A386" t="s">
        <v>188</v>
      </c>
      <c r="B386" t="s">
        <v>189</v>
      </c>
      <c r="C386" s="1">
        <v>39739</v>
      </c>
      <c r="D386" t="s">
        <v>121</v>
      </c>
      <c r="E386" t="s">
        <v>66</v>
      </c>
      <c r="F386" t="s">
        <v>41</v>
      </c>
      <c r="G386" t="s">
        <v>17</v>
      </c>
      <c r="H386" t="s">
        <v>106</v>
      </c>
      <c r="I386" t="s">
        <v>190</v>
      </c>
      <c r="J386" t="s">
        <v>191</v>
      </c>
      <c r="K386" s="2">
        <v>17.2</v>
      </c>
      <c r="L386">
        <v>40</v>
      </c>
      <c r="M386">
        <f t="shared" si="5"/>
        <v>688</v>
      </c>
    </row>
    <row r="387" spans="1:13">
      <c r="A387" t="s">
        <v>188</v>
      </c>
      <c r="B387" t="s">
        <v>189</v>
      </c>
      <c r="C387" s="1">
        <v>39963</v>
      </c>
      <c r="D387" t="s">
        <v>117</v>
      </c>
      <c r="E387" t="s">
        <v>53</v>
      </c>
      <c r="F387" t="s">
        <v>118</v>
      </c>
      <c r="G387" t="s">
        <v>17</v>
      </c>
      <c r="H387" t="s">
        <v>106</v>
      </c>
      <c r="I387" t="s">
        <v>190</v>
      </c>
      <c r="J387" t="s">
        <v>191</v>
      </c>
      <c r="K387" s="2">
        <v>21</v>
      </c>
      <c r="L387">
        <v>24</v>
      </c>
      <c r="M387">
        <f t="shared" ref="M387:M450" si="6">K387*L387</f>
        <v>504</v>
      </c>
    </row>
    <row r="388" spans="1:13">
      <c r="A388" t="s">
        <v>188</v>
      </c>
      <c r="B388" t="s">
        <v>189</v>
      </c>
      <c r="C388" s="1">
        <v>40107</v>
      </c>
      <c r="D388" t="s">
        <v>52</v>
      </c>
      <c r="E388" t="s">
        <v>103</v>
      </c>
      <c r="F388" t="s">
        <v>54</v>
      </c>
      <c r="G388" t="s">
        <v>39</v>
      </c>
      <c r="H388" t="s">
        <v>106</v>
      </c>
      <c r="I388" t="s">
        <v>190</v>
      </c>
      <c r="J388" t="s">
        <v>191</v>
      </c>
      <c r="K388" s="2">
        <v>55</v>
      </c>
      <c r="L388">
        <v>25</v>
      </c>
      <c r="M388">
        <f t="shared" si="6"/>
        <v>1375</v>
      </c>
    </row>
    <row r="389" spans="1:13">
      <c r="A389" t="s">
        <v>188</v>
      </c>
      <c r="B389" t="s">
        <v>189</v>
      </c>
      <c r="C389" s="1">
        <v>40107</v>
      </c>
      <c r="D389" t="s">
        <v>60</v>
      </c>
      <c r="E389" t="s">
        <v>103</v>
      </c>
      <c r="F389" t="s">
        <v>61</v>
      </c>
      <c r="G389" t="s">
        <v>39</v>
      </c>
      <c r="H389" t="s">
        <v>106</v>
      </c>
      <c r="I389" t="s">
        <v>190</v>
      </c>
      <c r="J389" t="s">
        <v>191</v>
      </c>
      <c r="K389" s="2">
        <v>9.5</v>
      </c>
      <c r="L389">
        <v>40</v>
      </c>
      <c r="M389">
        <f t="shared" si="6"/>
        <v>380</v>
      </c>
    </row>
    <row r="390" spans="1:13">
      <c r="A390" t="s">
        <v>188</v>
      </c>
      <c r="B390" t="s">
        <v>189</v>
      </c>
      <c r="C390" s="1">
        <v>40107</v>
      </c>
      <c r="D390" t="s">
        <v>153</v>
      </c>
      <c r="E390" t="s">
        <v>103</v>
      </c>
      <c r="F390" t="s">
        <v>125</v>
      </c>
      <c r="G390" t="s">
        <v>39</v>
      </c>
      <c r="H390" t="s">
        <v>106</v>
      </c>
      <c r="I390" t="s">
        <v>190</v>
      </c>
      <c r="J390" t="s">
        <v>191</v>
      </c>
      <c r="K390" s="2">
        <v>23.25</v>
      </c>
      <c r="L390">
        <v>5</v>
      </c>
      <c r="M390">
        <f t="shared" si="6"/>
        <v>116.25</v>
      </c>
    </row>
    <row r="391" spans="1:13">
      <c r="A391" t="s">
        <v>188</v>
      </c>
      <c r="B391" t="s">
        <v>189</v>
      </c>
      <c r="C391" s="1">
        <v>39868</v>
      </c>
      <c r="D391" t="s">
        <v>109</v>
      </c>
      <c r="E391" t="s">
        <v>67</v>
      </c>
      <c r="F391" t="s">
        <v>56</v>
      </c>
      <c r="G391" t="s">
        <v>17</v>
      </c>
      <c r="H391" t="s">
        <v>106</v>
      </c>
      <c r="I391" t="s">
        <v>190</v>
      </c>
      <c r="J391" t="s">
        <v>191</v>
      </c>
      <c r="K391" s="2">
        <v>14.4</v>
      </c>
      <c r="L391">
        <v>20</v>
      </c>
      <c r="M391">
        <f t="shared" si="6"/>
        <v>288</v>
      </c>
    </row>
    <row r="392" spans="1:13">
      <c r="A392" t="s">
        <v>188</v>
      </c>
      <c r="B392" t="s">
        <v>189</v>
      </c>
      <c r="C392" s="1">
        <v>39553</v>
      </c>
      <c r="D392" t="s">
        <v>111</v>
      </c>
      <c r="E392" t="s">
        <v>89</v>
      </c>
      <c r="F392" t="s">
        <v>37</v>
      </c>
      <c r="G392" t="s">
        <v>39</v>
      </c>
      <c r="H392" t="s">
        <v>106</v>
      </c>
      <c r="I392" t="s">
        <v>190</v>
      </c>
      <c r="J392" t="s">
        <v>191</v>
      </c>
      <c r="K392" s="2">
        <v>18</v>
      </c>
      <c r="L392">
        <v>10</v>
      </c>
      <c r="M392">
        <f t="shared" si="6"/>
        <v>180</v>
      </c>
    </row>
    <row r="393" spans="1:13">
      <c r="A393" t="s">
        <v>188</v>
      </c>
      <c r="B393" t="s">
        <v>189</v>
      </c>
      <c r="C393" s="1">
        <v>39826</v>
      </c>
      <c r="D393" t="s">
        <v>153</v>
      </c>
      <c r="E393" t="s">
        <v>67</v>
      </c>
      <c r="F393" t="s">
        <v>125</v>
      </c>
      <c r="G393" t="s">
        <v>17</v>
      </c>
      <c r="H393" t="s">
        <v>106</v>
      </c>
      <c r="I393" t="s">
        <v>190</v>
      </c>
      <c r="J393" t="s">
        <v>191</v>
      </c>
      <c r="K393" s="2">
        <v>18.600000000000001</v>
      </c>
      <c r="L393">
        <v>20</v>
      </c>
      <c r="M393">
        <f t="shared" si="6"/>
        <v>372</v>
      </c>
    </row>
    <row r="394" spans="1:13">
      <c r="A394" t="s">
        <v>188</v>
      </c>
      <c r="B394" t="s">
        <v>189</v>
      </c>
      <c r="C394" s="1">
        <v>39938</v>
      </c>
      <c r="D394" t="s">
        <v>62</v>
      </c>
      <c r="E394" t="s">
        <v>24</v>
      </c>
      <c r="F394" t="s">
        <v>63</v>
      </c>
      <c r="G394" t="s">
        <v>17</v>
      </c>
      <c r="H394" t="s">
        <v>106</v>
      </c>
      <c r="I394" t="s">
        <v>190</v>
      </c>
      <c r="J394" t="s">
        <v>191</v>
      </c>
      <c r="K394" s="2">
        <v>38</v>
      </c>
      <c r="L394">
        <v>30</v>
      </c>
      <c r="M394">
        <f t="shared" si="6"/>
        <v>1140</v>
      </c>
    </row>
    <row r="395" spans="1:13">
      <c r="A395" t="s">
        <v>188</v>
      </c>
      <c r="B395" t="s">
        <v>189</v>
      </c>
      <c r="C395" s="1">
        <v>39661</v>
      </c>
      <c r="D395" t="s">
        <v>57</v>
      </c>
      <c r="E395" t="s">
        <v>21</v>
      </c>
      <c r="F395" t="s">
        <v>58</v>
      </c>
      <c r="G395" t="s">
        <v>17</v>
      </c>
      <c r="H395" t="s">
        <v>106</v>
      </c>
      <c r="I395" t="s">
        <v>190</v>
      </c>
      <c r="J395" t="s">
        <v>191</v>
      </c>
      <c r="K395" s="2">
        <v>15.2</v>
      </c>
      <c r="L395">
        <v>30</v>
      </c>
      <c r="M395">
        <f t="shared" si="6"/>
        <v>456</v>
      </c>
    </row>
    <row r="396" spans="1:13">
      <c r="A396" t="s">
        <v>188</v>
      </c>
      <c r="B396" t="s">
        <v>189</v>
      </c>
      <c r="C396" s="1">
        <v>39938</v>
      </c>
      <c r="D396" t="s">
        <v>124</v>
      </c>
      <c r="E396" t="s">
        <v>24</v>
      </c>
      <c r="F396" t="s">
        <v>125</v>
      </c>
      <c r="G396" t="s">
        <v>17</v>
      </c>
      <c r="H396" t="s">
        <v>106</v>
      </c>
      <c r="I396" t="s">
        <v>190</v>
      </c>
      <c r="J396" t="s">
        <v>191</v>
      </c>
      <c r="K396" s="2">
        <v>6</v>
      </c>
      <c r="L396">
        <v>10</v>
      </c>
      <c r="M396">
        <f t="shared" si="6"/>
        <v>60</v>
      </c>
    </row>
    <row r="397" spans="1:13">
      <c r="A397" t="s">
        <v>188</v>
      </c>
      <c r="B397" t="s">
        <v>189</v>
      </c>
      <c r="C397" s="1">
        <v>40073</v>
      </c>
      <c r="D397" t="s">
        <v>14</v>
      </c>
      <c r="E397" t="s">
        <v>53</v>
      </c>
      <c r="F397" t="s">
        <v>16</v>
      </c>
      <c r="G397" t="s">
        <v>39</v>
      </c>
      <c r="H397" t="s">
        <v>106</v>
      </c>
      <c r="I397" t="s">
        <v>190</v>
      </c>
      <c r="J397" t="s">
        <v>191</v>
      </c>
      <c r="K397" s="2">
        <v>7.45</v>
      </c>
      <c r="L397">
        <v>3</v>
      </c>
      <c r="M397">
        <f t="shared" si="6"/>
        <v>22.35</v>
      </c>
    </row>
    <row r="398" spans="1:13">
      <c r="A398" t="s">
        <v>188</v>
      </c>
      <c r="B398" t="s">
        <v>189</v>
      </c>
      <c r="C398" s="1">
        <v>40073</v>
      </c>
      <c r="D398" t="s">
        <v>62</v>
      </c>
      <c r="E398" t="s">
        <v>53</v>
      </c>
      <c r="F398" t="s">
        <v>63</v>
      </c>
      <c r="G398" t="s">
        <v>39</v>
      </c>
      <c r="H398" t="s">
        <v>106</v>
      </c>
      <c r="I398" t="s">
        <v>190</v>
      </c>
      <c r="J398" t="s">
        <v>191</v>
      </c>
      <c r="K398" s="2">
        <v>38</v>
      </c>
      <c r="L398">
        <v>20</v>
      </c>
      <c r="M398">
        <f t="shared" si="6"/>
        <v>760</v>
      </c>
    </row>
    <row r="399" spans="1:13">
      <c r="A399" t="s">
        <v>188</v>
      </c>
      <c r="B399" t="s">
        <v>189</v>
      </c>
      <c r="C399" s="1">
        <v>39938</v>
      </c>
      <c r="D399" t="s">
        <v>111</v>
      </c>
      <c r="E399" t="s">
        <v>24</v>
      </c>
      <c r="F399" t="s">
        <v>37</v>
      </c>
      <c r="G399" t="s">
        <v>17</v>
      </c>
      <c r="H399" t="s">
        <v>106</v>
      </c>
      <c r="I399" t="s">
        <v>190</v>
      </c>
      <c r="J399" t="s">
        <v>191</v>
      </c>
      <c r="K399" s="2">
        <v>18</v>
      </c>
      <c r="L399">
        <v>8</v>
      </c>
      <c r="M399">
        <f t="shared" si="6"/>
        <v>144</v>
      </c>
    </row>
    <row r="400" spans="1:13">
      <c r="A400" t="s">
        <v>188</v>
      </c>
      <c r="B400" t="s">
        <v>189</v>
      </c>
      <c r="C400" s="1">
        <v>39739</v>
      </c>
      <c r="D400" t="s">
        <v>153</v>
      </c>
      <c r="E400" t="s">
        <v>66</v>
      </c>
      <c r="F400" t="s">
        <v>125</v>
      </c>
      <c r="G400" t="s">
        <v>17</v>
      </c>
      <c r="H400" t="s">
        <v>106</v>
      </c>
      <c r="I400" t="s">
        <v>190</v>
      </c>
      <c r="J400" t="s">
        <v>191</v>
      </c>
      <c r="K400" s="2">
        <v>18.600000000000001</v>
      </c>
      <c r="L400">
        <v>10</v>
      </c>
      <c r="M400">
        <f t="shared" si="6"/>
        <v>186</v>
      </c>
    </row>
    <row r="401" spans="1:13">
      <c r="A401" t="s">
        <v>188</v>
      </c>
      <c r="B401" t="s">
        <v>189</v>
      </c>
      <c r="C401" s="1">
        <v>39661</v>
      </c>
      <c r="D401" t="s">
        <v>94</v>
      </c>
      <c r="E401" t="s">
        <v>21</v>
      </c>
      <c r="F401" t="s">
        <v>74</v>
      </c>
      <c r="G401" t="s">
        <v>17</v>
      </c>
      <c r="H401" t="s">
        <v>106</v>
      </c>
      <c r="I401" t="s">
        <v>190</v>
      </c>
      <c r="J401" t="s">
        <v>191</v>
      </c>
      <c r="K401" s="2">
        <v>36.799999999999997</v>
      </c>
      <c r="L401">
        <v>25</v>
      </c>
      <c r="M401">
        <f t="shared" si="6"/>
        <v>919.99999999999989</v>
      </c>
    </row>
    <row r="402" spans="1:13">
      <c r="A402" t="s">
        <v>188</v>
      </c>
      <c r="B402" t="s">
        <v>189</v>
      </c>
      <c r="C402" s="1">
        <v>40073</v>
      </c>
      <c r="D402" t="s">
        <v>179</v>
      </c>
      <c r="E402" t="s">
        <v>53</v>
      </c>
      <c r="F402" t="s">
        <v>47</v>
      </c>
      <c r="G402" t="s">
        <v>39</v>
      </c>
      <c r="H402" t="s">
        <v>106</v>
      </c>
      <c r="I402" t="s">
        <v>190</v>
      </c>
      <c r="J402" t="s">
        <v>191</v>
      </c>
      <c r="K402" s="2">
        <v>10</v>
      </c>
      <c r="L402">
        <v>35</v>
      </c>
      <c r="M402">
        <f t="shared" si="6"/>
        <v>350</v>
      </c>
    </row>
    <row r="403" spans="1:13">
      <c r="A403" t="s">
        <v>192</v>
      </c>
      <c r="B403" t="s">
        <v>193</v>
      </c>
      <c r="C403" s="1">
        <v>39893</v>
      </c>
      <c r="D403" t="s">
        <v>185</v>
      </c>
      <c r="E403" t="s">
        <v>21</v>
      </c>
      <c r="F403" t="s">
        <v>134</v>
      </c>
      <c r="G403" t="s">
        <v>17</v>
      </c>
      <c r="H403" t="s">
        <v>141</v>
      </c>
      <c r="J403" t="s">
        <v>194</v>
      </c>
      <c r="K403" s="2">
        <v>14.7</v>
      </c>
      <c r="L403">
        <v>10</v>
      </c>
      <c r="M403">
        <f t="shared" si="6"/>
        <v>147</v>
      </c>
    </row>
    <row r="404" spans="1:13">
      <c r="A404" t="s">
        <v>192</v>
      </c>
      <c r="B404" t="s">
        <v>193</v>
      </c>
      <c r="C404" s="1">
        <v>39955</v>
      </c>
      <c r="D404" t="s">
        <v>131</v>
      </c>
      <c r="E404" t="s">
        <v>67</v>
      </c>
      <c r="F404" t="s">
        <v>132</v>
      </c>
      <c r="G404" t="s">
        <v>17</v>
      </c>
      <c r="H404" t="s">
        <v>141</v>
      </c>
      <c r="J404" t="s">
        <v>194</v>
      </c>
      <c r="K404" s="2">
        <v>21</v>
      </c>
      <c r="L404">
        <v>10</v>
      </c>
      <c r="M404">
        <f t="shared" si="6"/>
        <v>210</v>
      </c>
    </row>
    <row r="405" spans="1:13">
      <c r="A405" t="s">
        <v>195</v>
      </c>
      <c r="B405" t="s">
        <v>196</v>
      </c>
      <c r="C405" s="1">
        <v>40074</v>
      </c>
      <c r="D405" t="s">
        <v>102</v>
      </c>
      <c r="E405" t="s">
        <v>21</v>
      </c>
      <c r="F405" t="s">
        <v>47</v>
      </c>
      <c r="G405" t="s">
        <v>39</v>
      </c>
      <c r="H405" t="s">
        <v>106</v>
      </c>
      <c r="I405" t="s">
        <v>107</v>
      </c>
      <c r="J405" t="s">
        <v>108</v>
      </c>
      <c r="K405" s="2">
        <v>31</v>
      </c>
      <c r="L405">
        <v>10</v>
      </c>
      <c r="M405">
        <f t="shared" si="6"/>
        <v>310</v>
      </c>
    </row>
    <row r="406" spans="1:13">
      <c r="A406" t="s">
        <v>195</v>
      </c>
      <c r="B406" t="s">
        <v>196</v>
      </c>
      <c r="C406" s="1">
        <v>39659</v>
      </c>
      <c r="D406" t="s">
        <v>75</v>
      </c>
      <c r="E406" t="s">
        <v>67</v>
      </c>
      <c r="F406" t="s">
        <v>76</v>
      </c>
      <c r="G406" t="s">
        <v>17</v>
      </c>
      <c r="H406" t="s">
        <v>106</v>
      </c>
      <c r="I406" t="s">
        <v>107</v>
      </c>
      <c r="J406" t="s">
        <v>108</v>
      </c>
      <c r="K406" s="2">
        <v>27.8</v>
      </c>
      <c r="L406">
        <v>4</v>
      </c>
      <c r="M406">
        <f t="shared" si="6"/>
        <v>111.2</v>
      </c>
    </row>
    <row r="407" spans="1:13">
      <c r="A407" t="s">
        <v>195</v>
      </c>
      <c r="B407" t="s">
        <v>196</v>
      </c>
      <c r="C407" s="1">
        <v>40074</v>
      </c>
      <c r="D407" t="s">
        <v>71</v>
      </c>
      <c r="E407" t="s">
        <v>21</v>
      </c>
      <c r="F407" t="s">
        <v>51</v>
      </c>
      <c r="G407" t="s">
        <v>39</v>
      </c>
      <c r="H407" t="s">
        <v>106</v>
      </c>
      <c r="I407" t="s">
        <v>107</v>
      </c>
      <c r="J407" t="s">
        <v>108</v>
      </c>
      <c r="K407" s="2">
        <v>7.75</v>
      </c>
      <c r="L407">
        <v>10</v>
      </c>
      <c r="M407">
        <f t="shared" si="6"/>
        <v>77.5</v>
      </c>
    </row>
    <row r="408" spans="1:13">
      <c r="A408" t="s">
        <v>195</v>
      </c>
      <c r="B408" t="s">
        <v>196</v>
      </c>
      <c r="C408" s="1">
        <v>39659</v>
      </c>
      <c r="D408" t="s">
        <v>88</v>
      </c>
      <c r="E408" t="s">
        <v>67</v>
      </c>
      <c r="F408" t="s">
        <v>51</v>
      </c>
      <c r="G408" t="s">
        <v>17</v>
      </c>
      <c r="H408" t="s">
        <v>106</v>
      </c>
      <c r="I408" t="s">
        <v>107</v>
      </c>
      <c r="J408" t="s">
        <v>108</v>
      </c>
      <c r="K408" s="2">
        <v>99</v>
      </c>
      <c r="L408">
        <v>10</v>
      </c>
      <c r="M408">
        <f t="shared" si="6"/>
        <v>990</v>
      </c>
    </row>
    <row r="409" spans="1:13">
      <c r="A409" t="s">
        <v>197</v>
      </c>
      <c r="B409" t="s">
        <v>198</v>
      </c>
      <c r="C409" s="1">
        <v>39531</v>
      </c>
      <c r="D409" t="s">
        <v>48</v>
      </c>
      <c r="E409" t="s">
        <v>24</v>
      </c>
      <c r="F409" t="s">
        <v>22</v>
      </c>
      <c r="G409" t="s">
        <v>39</v>
      </c>
      <c r="H409" t="s">
        <v>199</v>
      </c>
      <c r="J409" t="s">
        <v>200</v>
      </c>
      <c r="K409" s="2">
        <v>39</v>
      </c>
      <c r="L409">
        <v>6</v>
      </c>
      <c r="M409">
        <f t="shared" si="6"/>
        <v>234</v>
      </c>
    </row>
    <row r="410" spans="1:13">
      <c r="A410" t="s">
        <v>197</v>
      </c>
      <c r="B410" t="s">
        <v>198</v>
      </c>
      <c r="C410" s="1">
        <v>39476</v>
      </c>
      <c r="D410" t="s">
        <v>87</v>
      </c>
      <c r="E410" t="s">
        <v>53</v>
      </c>
      <c r="F410" t="s">
        <v>25</v>
      </c>
      <c r="G410" t="s">
        <v>39</v>
      </c>
      <c r="H410" t="s">
        <v>199</v>
      </c>
      <c r="J410" t="s">
        <v>200</v>
      </c>
      <c r="K410" s="2">
        <v>30</v>
      </c>
      <c r="L410">
        <v>5</v>
      </c>
      <c r="M410">
        <f t="shared" si="6"/>
        <v>150</v>
      </c>
    </row>
    <row r="411" spans="1:13">
      <c r="A411" t="s">
        <v>197</v>
      </c>
      <c r="B411" t="s">
        <v>198</v>
      </c>
      <c r="C411" s="1">
        <v>39531</v>
      </c>
      <c r="D411" t="s">
        <v>40</v>
      </c>
      <c r="E411" t="s">
        <v>24</v>
      </c>
      <c r="F411" t="s">
        <v>41</v>
      </c>
      <c r="G411" t="s">
        <v>39</v>
      </c>
      <c r="H411" t="s">
        <v>199</v>
      </c>
      <c r="J411" t="s">
        <v>200</v>
      </c>
      <c r="K411" s="2">
        <v>2.5</v>
      </c>
      <c r="L411">
        <v>7</v>
      </c>
      <c r="M411">
        <f t="shared" si="6"/>
        <v>17.5</v>
      </c>
    </row>
    <row r="412" spans="1:13">
      <c r="A412" t="s">
        <v>197</v>
      </c>
      <c r="B412" t="s">
        <v>198</v>
      </c>
      <c r="C412" s="1">
        <v>39476</v>
      </c>
      <c r="D412" t="s">
        <v>150</v>
      </c>
      <c r="E412" t="s">
        <v>53</v>
      </c>
      <c r="F412" t="s">
        <v>31</v>
      </c>
      <c r="G412" t="s">
        <v>39</v>
      </c>
      <c r="H412" t="s">
        <v>199</v>
      </c>
      <c r="J412" t="s">
        <v>200</v>
      </c>
      <c r="K412" s="2">
        <v>43.9</v>
      </c>
      <c r="L412">
        <v>10</v>
      </c>
      <c r="M412">
        <f t="shared" si="6"/>
        <v>439</v>
      </c>
    </row>
    <row r="413" spans="1:13">
      <c r="A413" t="s">
        <v>197</v>
      </c>
      <c r="B413" t="s">
        <v>198</v>
      </c>
      <c r="C413" s="1">
        <v>39512</v>
      </c>
      <c r="D413" t="s">
        <v>136</v>
      </c>
      <c r="E413" t="s">
        <v>24</v>
      </c>
      <c r="F413" t="s">
        <v>35</v>
      </c>
      <c r="G413" t="s">
        <v>39</v>
      </c>
      <c r="H413" t="s">
        <v>199</v>
      </c>
      <c r="J413" t="s">
        <v>200</v>
      </c>
      <c r="K413" s="2">
        <v>81</v>
      </c>
      <c r="L413">
        <v>5</v>
      </c>
      <c r="M413">
        <f t="shared" si="6"/>
        <v>405</v>
      </c>
    </row>
    <row r="414" spans="1:13">
      <c r="A414" t="s">
        <v>197</v>
      </c>
      <c r="B414" t="s">
        <v>198</v>
      </c>
      <c r="C414" s="1">
        <v>39512</v>
      </c>
      <c r="D414" t="s">
        <v>96</v>
      </c>
      <c r="E414" t="s">
        <v>24</v>
      </c>
      <c r="F414" t="s">
        <v>97</v>
      </c>
      <c r="G414" t="s">
        <v>39</v>
      </c>
      <c r="H414" t="s">
        <v>199</v>
      </c>
      <c r="J414" t="s">
        <v>200</v>
      </c>
      <c r="K414" s="2">
        <v>18</v>
      </c>
      <c r="L414">
        <v>20</v>
      </c>
      <c r="M414">
        <f t="shared" si="6"/>
        <v>360</v>
      </c>
    </row>
    <row r="415" spans="1:13">
      <c r="A415" t="s">
        <v>197</v>
      </c>
      <c r="B415" t="s">
        <v>198</v>
      </c>
      <c r="C415" s="1">
        <v>39531</v>
      </c>
      <c r="D415" t="s">
        <v>30</v>
      </c>
      <c r="E415" t="s">
        <v>89</v>
      </c>
      <c r="F415" t="s">
        <v>31</v>
      </c>
      <c r="G415" t="s">
        <v>39</v>
      </c>
      <c r="H415" t="s">
        <v>199</v>
      </c>
      <c r="J415" t="s">
        <v>200</v>
      </c>
      <c r="K415" s="2">
        <v>31.23</v>
      </c>
      <c r="L415">
        <v>5</v>
      </c>
      <c r="M415">
        <f t="shared" si="6"/>
        <v>156.15</v>
      </c>
    </row>
    <row r="416" spans="1:13">
      <c r="A416" t="s">
        <v>197</v>
      </c>
      <c r="B416" t="s">
        <v>198</v>
      </c>
      <c r="C416" s="1">
        <v>39476</v>
      </c>
      <c r="D416" t="s">
        <v>116</v>
      </c>
      <c r="E416" t="s">
        <v>53</v>
      </c>
      <c r="F416" t="s">
        <v>22</v>
      </c>
      <c r="G416" t="s">
        <v>39</v>
      </c>
      <c r="H416" t="s">
        <v>199</v>
      </c>
      <c r="J416" t="s">
        <v>200</v>
      </c>
      <c r="K416" s="2">
        <v>15</v>
      </c>
      <c r="L416">
        <v>4</v>
      </c>
      <c r="M416">
        <f t="shared" si="6"/>
        <v>60</v>
      </c>
    </row>
    <row r="417" spans="1:13">
      <c r="A417" t="s">
        <v>197</v>
      </c>
      <c r="B417" t="s">
        <v>198</v>
      </c>
      <c r="C417" s="1">
        <v>39531</v>
      </c>
      <c r="D417" t="s">
        <v>133</v>
      </c>
      <c r="E417" t="s">
        <v>89</v>
      </c>
      <c r="F417" t="s">
        <v>134</v>
      </c>
      <c r="G417" t="s">
        <v>39</v>
      </c>
      <c r="H417" t="s">
        <v>199</v>
      </c>
      <c r="J417" t="s">
        <v>200</v>
      </c>
      <c r="K417" s="2">
        <v>9.65</v>
      </c>
      <c r="L417">
        <v>6</v>
      </c>
      <c r="M417">
        <f t="shared" si="6"/>
        <v>57.900000000000006</v>
      </c>
    </row>
    <row r="418" spans="1:13">
      <c r="A418" t="s">
        <v>197</v>
      </c>
      <c r="B418" t="s">
        <v>198</v>
      </c>
      <c r="C418" s="1">
        <v>39531</v>
      </c>
      <c r="D418" t="s">
        <v>71</v>
      </c>
      <c r="E418" t="s">
        <v>89</v>
      </c>
      <c r="F418" t="s">
        <v>51</v>
      </c>
      <c r="G418" t="s">
        <v>39</v>
      </c>
      <c r="H418" t="s">
        <v>199</v>
      </c>
      <c r="J418" t="s">
        <v>200</v>
      </c>
      <c r="K418" s="2">
        <v>7.75</v>
      </c>
      <c r="L418">
        <v>10</v>
      </c>
      <c r="M418">
        <f t="shared" si="6"/>
        <v>77.5</v>
      </c>
    </row>
    <row r="419" spans="1:13">
      <c r="A419" t="s">
        <v>197</v>
      </c>
      <c r="B419" t="s">
        <v>198</v>
      </c>
      <c r="C419" s="1">
        <v>39512</v>
      </c>
      <c r="D419" t="s">
        <v>120</v>
      </c>
      <c r="E419" t="s">
        <v>24</v>
      </c>
      <c r="F419" t="s">
        <v>33</v>
      </c>
      <c r="G419" t="s">
        <v>39</v>
      </c>
      <c r="H419" t="s">
        <v>199</v>
      </c>
      <c r="J419" t="s">
        <v>200</v>
      </c>
      <c r="K419" s="2">
        <v>7</v>
      </c>
      <c r="L419">
        <v>5</v>
      </c>
      <c r="M419">
        <f t="shared" si="6"/>
        <v>35</v>
      </c>
    </row>
    <row r="420" spans="1:13">
      <c r="A420" t="s">
        <v>201</v>
      </c>
      <c r="B420" t="s">
        <v>202</v>
      </c>
      <c r="C420" s="1">
        <v>39525</v>
      </c>
      <c r="D420" t="s">
        <v>147</v>
      </c>
      <c r="E420" t="s">
        <v>67</v>
      </c>
      <c r="F420" t="s">
        <v>51</v>
      </c>
      <c r="G420" t="s">
        <v>39</v>
      </c>
      <c r="H420" t="s">
        <v>158</v>
      </c>
      <c r="I420" t="s">
        <v>203</v>
      </c>
      <c r="J420" t="s">
        <v>204</v>
      </c>
      <c r="K420" s="2">
        <v>33.25</v>
      </c>
      <c r="L420">
        <v>8</v>
      </c>
      <c r="M420">
        <f t="shared" si="6"/>
        <v>266</v>
      </c>
    </row>
    <row r="421" spans="1:13">
      <c r="A421" t="s">
        <v>201</v>
      </c>
      <c r="B421" t="s">
        <v>202</v>
      </c>
      <c r="C421" s="1">
        <v>39910</v>
      </c>
      <c r="D421" t="s">
        <v>185</v>
      </c>
      <c r="E421" t="s">
        <v>67</v>
      </c>
      <c r="F421" t="s">
        <v>134</v>
      </c>
      <c r="G421" t="s">
        <v>17</v>
      </c>
      <c r="H421" t="s">
        <v>158</v>
      </c>
      <c r="I421" t="s">
        <v>203</v>
      </c>
      <c r="J421" t="s">
        <v>204</v>
      </c>
      <c r="K421" s="2">
        <v>18.399999999999999</v>
      </c>
      <c r="L421">
        <v>5</v>
      </c>
      <c r="M421">
        <f t="shared" si="6"/>
        <v>92</v>
      </c>
    </row>
    <row r="422" spans="1:13">
      <c r="A422" t="s">
        <v>201</v>
      </c>
      <c r="B422" t="s">
        <v>202</v>
      </c>
      <c r="C422" s="1">
        <v>39480</v>
      </c>
      <c r="D422" t="s">
        <v>111</v>
      </c>
      <c r="E422" t="s">
        <v>24</v>
      </c>
      <c r="F422" t="s">
        <v>37</v>
      </c>
      <c r="G422" t="s">
        <v>39</v>
      </c>
      <c r="H422" t="s">
        <v>158</v>
      </c>
      <c r="I422" t="s">
        <v>203</v>
      </c>
      <c r="J422" t="s">
        <v>204</v>
      </c>
      <c r="K422" s="2">
        <v>18</v>
      </c>
      <c r="L422">
        <v>20</v>
      </c>
      <c r="M422">
        <f t="shared" si="6"/>
        <v>360</v>
      </c>
    </row>
    <row r="423" spans="1:13">
      <c r="A423" t="s">
        <v>201</v>
      </c>
      <c r="B423" t="s">
        <v>202</v>
      </c>
      <c r="C423" s="1">
        <v>40010</v>
      </c>
      <c r="D423" t="s">
        <v>52</v>
      </c>
      <c r="E423" t="s">
        <v>50</v>
      </c>
      <c r="F423" t="s">
        <v>54</v>
      </c>
      <c r="G423" t="s">
        <v>17</v>
      </c>
      <c r="H423" t="s">
        <v>158</v>
      </c>
      <c r="I423" t="s">
        <v>203</v>
      </c>
      <c r="J423" t="s">
        <v>204</v>
      </c>
      <c r="K423" s="2">
        <v>55</v>
      </c>
      <c r="L423">
        <v>35</v>
      </c>
      <c r="M423">
        <f t="shared" si="6"/>
        <v>1925</v>
      </c>
    </row>
    <row r="424" spans="1:13">
      <c r="A424" t="s">
        <v>201</v>
      </c>
      <c r="B424" t="s">
        <v>202</v>
      </c>
      <c r="C424" s="1">
        <v>40010</v>
      </c>
      <c r="D424" t="s">
        <v>124</v>
      </c>
      <c r="E424" t="s">
        <v>50</v>
      </c>
      <c r="F424" t="s">
        <v>125</v>
      </c>
      <c r="G424" t="s">
        <v>17</v>
      </c>
      <c r="H424" t="s">
        <v>158</v>
      </c>
      <c r="I424" t="s">
        <v>203</v>
      </c>
      <c r="J424" t="s">
        <v>204</v>
      </c>
      <c r="K424" s="2">
        <v>6</v>
      </c>
      <c r="L424">
        <v>60</v>
      </c>
      <c r="M424">
        <f t="shared" si="6"/>
        <v>360</v>
      </c>
    </row>
    <row r="425" spans="1:13">
      <c r="A425" t="s">
        <v>201</v>
      </c>
      <c r="B425" t="s">
        <v>202</v>
      </c>
      <c r="C425" s="1">
        <v>39717</v>
      </c>
      <c r="D425" t="s">
        <v>43</v>
      </c>
      <c r="E425" t="s">
        <v>89</v>
      </c>
      <c r="F425" t="s">
        <v>41</v>
      </c>
      <c r="G425" t="s">
        <v>17</v>
      </c>
      <c r="H425" t="s">
        <v>158</v>
      </c>
      <c r="I425" t="s">
        <v>203</v>
      </c>
      <c r="J425" t="s">
        <v>204</v>
      </c>
      <c r="K425" s="2">
        <v>28.8</v>
      </c>
      <c r="L425">
        <v>8</v>
      </c>
      <c r="M425">
        <f t="shared" si="6"/>
        <v>230.4</v>
      </c>
    </row>
    <row r="426" spans="1:13">
      <c r="A426" t="s">
        <v>201</v>
      </c>
      <c r="B426" t="s">
        <v>202</v>
      </c>
      <c r="C426" s="1">
        <v>39501</v>
      </c>
      <c r="D426" t="s">
        <v>121</v>
      </c>
      <c r="E426" t="s">
        <v>24</v>
      </c>
      <c r="F426" t="s">
        <v>41</v>
      </c>
      <c r="G426" t="s">
        <v>39</v>
      </c>
      <c r="H426" t="s">
        <v>158</v>
      </c>
      <c r="I426" t="s">
        <v>203</v>
      </c>
      <c r="J426" t="s">
        <v>204</v>
      </c>
      <c r="K426" s="2">
        <v>21.5</v>
      </c>
      <c r="L426">
        <v>30</v>
      </c>
      <c r="M426">
        <f t="shared" si="6"/>
        <v>645</v>
      </c>
    </row>
    <row r="427" spans="1:13">
      <c r="A427" t="s">
        <v>201</v>
      </c>
      <c r="B427" t="s">
        <v>202</v>
      </c>
      <c r="C427" s="1">
        <v>39525</v>
      </c>
      <c r="D427" t="s">
        <v>83</v>
      </c>
      <c r="E427" t="s">
        <v>67</v>
      </c>
      <c r="F427" t="s">
        <v>84</v>
      </c>
      <c r="G427" t="s">
        <v>39</v>
      </c>
      <c r="H427" t="s">
        <v>158</v>
      </c>
      <c r="I427" t="s">
        <v>203</v>
      </c>
      <c r="J427" t="s">
        <v>204</v>
      </c>
      <c r="K427" s="2">
        <v>25.89</v>
      </c>
      <c r="L427">
        <v>30</v>
      </c>
      <c r="M427">
        <f t="shared" si="6"/>
        <v>776.7</v>
      </c>
    </row>
    <row r="428" spans="1:13">
      <c r="A428" t="s">
        <v>201</v>
      </c>
      <c r="B428" t="s">
        <v>202</v>
      </c>
      <c r="C428" s="1">
        <v>40081</v>
      </c>
      <c r="D428" t="s">
        <v>30</v>
      </c>
      <c r="E428" t="s">
        <v>15</v>
      </c>
      <c r="F428" t="s">
        <v>31</v>
      </c>
      <c r="G428" t="s">
        <v>39</v>
      </c>
      <c r="H428" t="s">
        <v>158</v>
      </c>
      <c r="I428" t="s">
        <v>203</v>
      </c>
      <c r="J428" t="s">
        <v>204</v>
      </c>
      <c r="K428" s="2">
        <v>31.23</v>
      </c>
      <c r="L428">
        <v>21</v>
      </c>
      <c r="M428">
        <f t="shared" si="6"/>
        <v>655.83</v>
      </c>
    </row>
    <row r="429" spans="1:13">
      <c r="A429" t="s">
        <v>201</v>
      </c>
      <c r="B429" t="s">
        <v>202</v>
      </c>
      <c r="C429" s="1">
        <v>39898</v>
      </c>
      <c r="D429" t="s">
        <v>131</v>
      </c>
      <c r="E429" t="s">
        <v>21</v>
      </c>
      <c r="F429" t="s">
        <v>132</v>
      </c>
      <c r="G429" t="s">
        <v>17</v>
      </c>
      <c r="H429" t="s">
        <v>158</v>
      </c>
      <c r="I429" t="s">
        <v>203</v>
      </c>
      <c r="J429" t="s">
        <v>204</v>
      </c>
      <c r="K429" s="2">
        <v>16.8</v>
      </c>
      <c r="L429">
        <v>5</v>
      </c>
      <c r="M429">
        <f t="shared" si="6"/>
        <v>84</v>
      </c>
    </row>
    <row r="430" spans="1:13">
      <c r="A430" t="s">
        <v>201</v>
      </c>
      <c r="B430" t="s">
        <v>202</v>
      </c>
      <c r="C430" s="1">
        <v>39501</v>
      </c>
      <c r="D430" t="s">
        <v>133</v>
      </c>
      <c r="E430" t="s">
        <v>24</v>
      </c>
      <c r="F430" t="s">
        <v>134</v>
      </c>
      <c r="G430" t="s">
        <v>39</v>
      </c>
      <c r="H430" t="s">
        <v>158</v>
      </c>
      <c r="I430" t="s">
        <v>203</v>
      </c>
      <c r="J430" t="s">
        <v>204</v>
      </c>
      <c r="K430" s="2">
        <v>9.65</v>
      </c>
      <c r="L430">
        <v>30</v>
      </c>
      <c r="M430">
        <f t="shared" si="6"/>
        <v>289.5</v>
      </c>
    </row>
    <row r="431" spans="1:13">
      <c r="A431" t="s">
        <v>201</v>
      </c>
      <c r="B431" t="s">
        <v>202</v>
      </c>
      <c r="C431" s="1">
        <v>40023</v>
      </c>
      <c r="D431" t="s">
        <v>124</v>
      </c>
      <c r="E431" t="s">
        <v>24</v>
      </c>
      <c r="F431" t="s">
        <v>125</v>
      </c>
      <c r="G431" t="s">
        <v>17</v>
      </c>
      <c r="H431" t="s">
        <v>158</v>
      </c>
      <c r="I431" t="s">
        <v>203</v>
      </c>
      <c r="J431" t="s">
        <v>204</v>
      </c>
      <c r="K431" s="2">
        <v>6</v>
      </c>
      <c r="L431">
        <v>8</v>
      </c>
      <c r="M431">
        <f t="shared" si="6"/>
        <v>48</v>
      </c>
    </row>
    <row r="432" spans="1:13">
      <c r="A432" t="s">
        <v>201</v>
      </c>
      <c r="B432" t="s">
        <v>202</v>
      </c>
      <c r="C432" s="1">
        <v>40081</v>
      </c>
      <c r="D432" t="s">
        <v>43</v>
      </c>
      <c r="E432" t="s">
        <v>15</v>
      </c>
      <c r="F432" t="s">
        <v>41</v>
      </c>
      <c r="G432" t="s">
        <v>39</v>
      </c>
      <c r="H432" t="s">
        <v>158</v>
      </c>
      <c r="I432" t="s">
        <v>203</v>
      </c>
      <c r="J432" t="s">
        <v>204</v>
      </c>
      <c r="K432" s="2">
        <v>36</v>
      </c>
      <c r="L432">
        <v>24</v>
      </c>
      <c r="M432">
        <f t="shared" si="6"/>
        <v>864</v>
      </c>
    </row>
    <row r="433" spans="1:13">
      <c r="A433" t="s">
        <v>201</v>
      </c>
      <c r="B433" t="s">
        <v>202</v>
      </c>
      <c r="C433" s="1">
        <v>40081</v>
      </c>
      <c r="D433" t="s">
        <v>147</v>
      </c>
      <c r="E433" t="s">
        <v>15</v>
      </c>
      <c r="F433" t="s">
        <v>51</v>
      </c>
      <c r="G433" t="s">
        <v>39</v>
      </c>
      <c r="H433" t="s">
        <v>158</v>
      </c>
      <c r="I433" t="s">
        <v>203</v>
      </c>
      <c r="J433" t="s">
        <v>204</v>
      </c>
      <c r="K433" s="2">
        <v>33.25</v>
      </c>
      <c r="L433">
        <v>35</v>
      </c>
      <c r="M433">
        <f t="shared" si="6"/>
        <v>1163.75</v>
      </c>
    </row>
    <row r="434" spans="1:13">
      <c r="A434" t="s">
        <v>201</v>
      </c>
      <c r="B434" t="s">
        <v>202</v>
      </c>
      <c r="C434" s="1">
        <v>39910</v>
      </c>
      <c r="D434" t="s">
        <v>98</v>
      </c>
      <c r="E434" t="s">
        <v>67</v>
      </c>
      <c r="F434" t="s">
        <v>99</v>
      </c>
      <c r="G434" t="s">
        <v>17</v>
      </c>
      <c r="H434" t="s">
        <v>158</v>
      </c>
      <c r="I434" t="s">
        <v>203</v>
      </c>
      <c r="J434" t="s">
        <v>204</v>
      </c>
      <c r="K434" s="2">
        <v>4.5</v>
      </c>
      <c r="L434">
        <v>14</v>
      </c>
      <c r="M434">
        <f t="shared" si="6"/>
        <v>63</v>
      </c>
    </row>
    <row r="435" spans="1:13">
      <c r="A435" t="s">
        <v>201</v>
      </c>
      <c r="B435" t="s">
        <v>202</v>
      </c>
      <c r="C435" s="1">
        <v>39910</v>
      </c>
      <c r="D435" t="s">
        <v>110</v>
      </c>
      <c r="E435" t="s">
        <v>67</v>
      </c>
      <c r="F435" t="s">
        <v>74</v>
      </c>
      <c r="G435" t="s">
        <v>17</v>
      </c>
      <c r="H435" t="s">
        <v>158</v>
      </c>
      <c r="I435" t="s">
        <v>203</v>
      </c>
      <c r="J435" t="s">
        <v>204</v>
      </c>
      <c r="K435" s="2">
        <v>14</v>
      </c>
      <c r="L435">
        <v>30</v>
      </c>
      <c r="M435">
        <f t="shared" si="6"/>
        <v>420</v>
      </c>
    </row>
    <row r="436" spans="1:13">
      <c r="A436" t="s">
        <v>201</v>
      </c>
      <c r="B436" t="s">
        <v>202</v>
      </c>
      <c r="C436" s="1">
        <v>40081</v>
      </c>
      <c r="D436" t="s">
        <v>73</v>
      </c>
      <c r="E436" t="s">
        <v>15</v>
      </c>
      <c r="F436" t="s">
        <v>74</v>
      </c>
      <c r="G436" t="s">
        <v>39</v>
      </c>
      <c r="H436" t="s">
        <v>158</v>
      </c>
      <c r="I436" t="s">
        <v>203</v>
      </c>
      <c r="J436" t="s">
        <v>204</v>
      </c>
      <c r="K436" s="2">
        <v>19.45</v>
      </c>
      <c r="L436">
        <v>10</v>
      </c>
      <c r="M436">
        <f t="shared" si="6"/>
        <v>194.5</v>
      </c>
    </row>
    <row r="437" spans="1:13">
      <c r="A437" t="s">
        <v>201</v>
      </c>
      <c r="B437" t="s">
        <v>202</v>
      </c>
      <c r="C437" s="1">
        <v>39962</v>
      </c>
      <c r="D437" t="s">
        <v>43</v>
      </c>
      <c r="E437" t="s">
        <v>53</v>
      </c>
      <c r="F437" t="s">
        <v>41</v>
      </c>
      <c r="G437" t="s">
        <v>17</v>
      </c>
      <c r="H437" t="s">
        <v>158</v>
      </c>
      <c r="I437" t="s">
        <v>203</v>
      </c>
      <c r="J437" t="s">
        <v>204</v>
      </c>
      <c r="K437" s="2">
        <v>36</v>
      </c>
      <c r="L437">
        <v>18</v>
      </c>
      <c r="M437">
        <f t="shared" si="6"/>
        <v>648</v>
      </c>
    </row>
    <row r="438" spans="1:13">
      <c r="A438" t="s">
        <v>201</v>
      </c>
      <c r="B438" t="s">
        <v>202</v>
      </c>
      <c r="C438" s="1">
        <v>39526</v>
      </c>
      <c r="D438" t="s">
        <v>133</v>
      </c>
      <c r="E438" t="s">
        <v>15</v>
      </c>
      <c r="F438" t="s">
        <v>134</v>
      </c>
      <c r="G438" t="s">
        <v>39</v>
      </c>
      <c r="H438" t="s">
        <v>158</v>
      </c>
      <c r="I438" t="s">
        <v>203</v>
      </c>
      <c r="J438" t="s">
        <v>204</v>
      </c>
      <c r="K438" s="2">
        <v>9.65</v>
      </c>
      <c r="L438">
        <v>24</v>
      </c>
      <c r="M438">
        <f t="shared" si="6"/>
        <v>231.60000000000002</v>
      </c>
    </row>
    <row r="439" spans="1:13">
      <c r="A439" t="s">
        <v>201</v>
      </c>
      <c r="B439" t="s">
        <v>202</v>
      </c>
      <c r="C439" s="1">
        <v>39889</v>
      </c>
      <c r="D439" t="s">
        <v>116</v>
      </c>
      <c r="E439" t="s">
        <v>67</v>
      </c>
      <c r="F439" t="s">
        <v>22</v>
      </c>
      <c r="G439" t="s">
        <v>17</v>
      </c>
      <c r="H439" t="s">
        <v>158</v>
      </c>
      <c r="I439" t="s">
        <v>203</v>
      </c>
      <c r="J439" t="s">
        <v>204</v>
      </c>
      <c r="K439" s="2">
        <v>12</v>
      </c>
      <c r="L439">
        <v>12</v>
      </c>
      <c r="M439">
        <f t="shared" si="6"/>
        <v>144</v>
      </c>
    </row>
    <row r="440" spans="1:13">
      <c r="A440" t="s">
        <v>201</v>
      </c>
      <c r="B440" t="s">
        <v>202</v>
      </c>
      <c r="C440" s="1">
        <v>39525</v>
      </c>
      <c r="D440" t="s">
        <v>44</v>
      </c>
      <c r="E440" t="s">
        <v>67</v>
      </c>
      <c r="F440" t="s">
        <v>45</v>
      </c>
      <c r="G440" t="s">
        <v>39</v>
      </c>
      <c r="H440" t="s">
        <v>158</v>
      </c>
      <c r="I440" t="s">
        <v>203</v>
      </c>
      <c r="J440" t="s">
        <v>204</v>
      </c>
      <c r="K440" s="2">
        <v>18</v>
      </c>
      <c r="L440">
        <v>40</v>
      </c>
      <c r="M440">
        <f t="shared" si="6"/>
        <v>720</v>
      </c>
    </row>
    <row r="441" spans="1:13">
      <c r="A441" t="s">
        <v>201</v>
      </c>
      <c r="B441" t="s">
        <v>202</v>
      </c>
      <c r="C441" s="1">
        <v>40047</v>
      </c>
      <c r="D441" t="s">
        <v>36</v>
      </c>
      <c r="E441" t="s">
        <v>24</v>
      </c>
      <c r="F441" t="s">
        <v>37</v>
      </c>
      <c r="G441" t="s">
        <v>17</v>
      </c>
      <c r="H441" t="s">
        <v>158</v>
      </c>
      <c r="I441" t="s">
        <v>203</v>
      </c>
      <c r="J441" t="s">
        <v>204</v>
      </c>
      <c r="K441" s="2">
        <v>19</v>
      </c>
      <c r="L441">
        <v>50</v>
      </c>
      <c r="M441">
        <f t="shared" si="6"/>
        <v>950</v>
      </c>
    </row>
    <row r="442" spans="1:13">
      <c r="A442" t="s">
        <v>201</v>
      </c>
      <c r="B442" t="s">
        <v>202</v>
      </c>
      <c r="C442" s="1">
        <v>39898</v>
      </c>
      <c r="D442" t="s">
        <v>179</v>
      </c>
      <c r="E442" t="s">
        <v>21</v>
      </c>
      <c r="F442" t="s">
        <v>47</v>
      </c>
      <c r="G442" t="s">
        <v>17</v>
      </c>
      <c r="H442" t="s">
        <v>158</v>
      </c>
      <c r="I442" t="s">
        <v>203</v>
      </c>
      <c r="J442" t="s">
        <v>204</v>
      </c>
      <c r="K442" s="2">
        <v>8</v>
      </c>
      <c r="L442">
        <v>16</v>
      </c>
      <c r="M442">
        <f t="shared" si="6"/>
        <v>128</v>
      </c>
    </row>
    <row r="443" spans="1:13">
      <c r="A443" t="s">
        <v>201</v>
      </c>
      <c r="B443" t="s">
        <v>202</v>
      </c>
      <c r="C443" s="1">
        <v>39566</v>
      </c>
      <c r="D443" t="s">
        <v>123</v>
      </c>
      <c r="E443" t="s">
        <v>50</v>
      </c>
      <c r="F443" t="s">
        <v>63</v>
      </c>
      <c r="G443" t="s">
        <v>39</v>
      </c>
      <c r="H443" t="s">
        <v>158</v>
      </c>
      <c r="I443" t="s">
        <v>203</v>
      </c>
      <c r="J443" t="s">
        <v>204</v>
      </c>
      <c r="K443" s="2">
        <v>19.5</v>
      </c>
      <c r="L443">
        <v>20</v>
      </c>
      <c r="M443">
        <f t="shared" si="6"/>
        <v>390</v>
      </c>
    </row>
    <row r="444" spans="1:13">
      <c r="A444" t="s">
        <v>201</v>
      </c>
      <c r="B444" t="s">
        <v>202</v>
      </c>
      <c r="C444" s="1">
        <v>39566</v>
      </c>
      <c r="D444" t="s">
        <v>85</v>
      </c>
      <c r="E444" t="s">
        <v>50</v>
      </c>
      <c r="F444" t="s">
        <v>33</v>
      </c>
      <c r="G444" t="s">
        <v>39</v>
      </c>
      <c r="H444" t="s">
        <v>158</v>
      </c>
      <c r="I444" t="s">
        <v>203</v>
      </c>
      <c r="J444" t="s">
        <v>204</v>
      </c>
      <c r="K444" s="2">
        <v>53</v>
      </c>
      <c r="L444">
        <v>20</v>
      </c>
      <c r="M444">
        <f t="shared" si="6"/>
        <v>1060</v>
      </c>
    </row>
    <row r="445" spans="1:13">
      <c r="A445" t="s">
        <v>201</v>
      </c>
      <c r="B445" t="s">
        <v>202</v>
      </c>
      <c r="C445" s="1">
        <v>39566</v>
      </c>
      <c r="D445" t="s">
        <v>122</v>
      </c>
      <c r="E445" t="s">
        <v>50</v>
      </c>
      <c r="F445" t="s">
        <v>31</v>
      </c>
      <c r="G445" t="s">
        <v>39</v>
      </c>
      <c r="H445" t="s">
        <v>158</v>
      </c>
      <c r="I445" t="s">
        <v>203</v>
      </c>
      <c r="J445" t="s">
        <v>204</v>
      </c>
      <c r="K445" s="2">
        <v>14</v>
      </c>
      <c r="L445">
        <v>15</v>
      </c>
      <c r="M445">
        <f t="shared" si="6"/>
        <v>210</v>
      </c>
    </row>
    <row r="446" spans="1:13">
      <c r="A446" t="s">
        <v>201</v>
      </c>
      <c r="B446" t="s">
        <v>202</v>
      </c>
      <c r="C446" s="1">
        <v>39532</v>
      </c>
      <c r="D446" t="s">
        <v>77</v>
      </c>
      <c r="E446" t="s">
        <v>21</v>
      </c>
      <c r="F446" t="s">
        <v>51</v>
      </c>
      <c r="G446" t="s">
        <v>39</v>
      </c>
      <c r="H446" t="s">
        <v>158</v>
      </c>
      <c r="I446" t="s">
        <v>203</v>
      </c>
      <c r="J446" t="s">
        <v>204</v>
      </c>
      <c r="K446" s="2">
        <v>45.6</v>
      </c>
      <c r="L446">
        <v>20</v>
      </c>
      <c r="M446">
        <f t="shared" si="6"/>
        <v>912</v>
      </c>
    </row>
    <row r="447" spans="1:13">
      <c r="A447" t="s">
        <v>201</v>
      </c>
      <c r="B447" t="s">
        <v>202</v>
      </c>
      <c r="C447" s="1">
        <v>39645</v>
      </c>
      <c r="D447" t="s">
        <v>150</v>
      </c>
      <c r="E447" t="s">
        <v>24</v>
      </c>
      <c r="F447" t="s">
        <v>31</v>
      </c>
      <c r="G447" t="s">
        <v>17</v>
      </c>
      <c r="H447" t="s">
        <v>158</v>
      </c>
      <c r="I447" t="s">
        <v>203</v>
      </c>
      <c r="J447" t="s">
        <v>204</v>
      </c>
      <c r="K447" s="2">
        <v>35.1</v>
      </c>
      <c r="L447">
        <v>25</v>
      </c>
      <c r="M447">
        <f t="shared" si="6"/>
        <v>877.5</v>
      </c>
    </row>
    <row r="448" spans="1:13">
      <c r="A448" t="s">
        <v>201</v>
      </c>
      <c r="B448" t="s">
        <v>202</v>
      </c>
      <c r="C448" s="1">
        <v>39645</v>
      </c>
      <c r="D448" t="s">
        <v>109</v>
      </c>
      <c r="E448" t="s">
        <v>24</v>
      </c>
      <c r="F448" t="s">
        <v>56</v>
      </c>
      <c r="G448" t="s">
        <v>17</v>
      </c>
      <c r="H448" t="s">
        <v>158</v>
      </c>
      <c r="I448" t="s">
        <v>203</v>
      </c>
      <c r="J448" t="s">
        <v>204</v>
      </c>
      <c r="K448" s="2">
        <v>14.4</v>
      </c>
      <c r="L448">
        <v>6</v>
      </c>
      <c r="M448">
        <f t="shared" si="6"/>
        <v>86.4</v>
      </c>
    </row>
    <row r="449" spans="1:13">
      <c r="A449" t="s">
        <v>201</v>
      </c>
      <c r="B449" t="s">
        <v>202</v>
      </c>
      <c r="C449" s="1">
        <v>39889</v>
      </c>
      <c r="D449" t="s">
        <v>148</v>
      </c>
      <c r="E449" t="s">
        <v>67</v>
      </c>
      <c r="F449" t="s">
        <v>16</v>
      </c>
      <c r="G449" t="s">
        <v>17</v>
      </c>
      <c r="H449" t="s">
        <v>158</v>
      </c>
      <c r="I449" t="s">
        <v>203</v>
      </c>
      <c r="J449" t="s">
        <v>204</v>
      </c>
      <c r="K449" s="2">
        <v>19.2</v>
      </c>
      <c r="L449">
        <v>2</v>
      </c>
      <c r="M449">
        <f t="shared" si="6"/>
        <v>38.4</v>
      </c>
    </row>
    <row r="450" spans="1:13">
      <c r="A450" t="s">
        <v>201</v>
      </c>
      <c r="B450" t="s">
        <v>202</v>
      </c>
      <c r="C450" s="1">
        <v>39480</v>
      </c>
      <c r="D450" t="s">
        <v>68</v>
      </c>
      <c r="E450" t="s">
        <v>24</v>
      </c>
      <c r="F450" t="s">
        <v>69</v>
      </c>
      <c r="G450" t="s">
        <v>39</v>
      </c>
      <c r="H450" t="s">
        <v>158</v>
      </c>
      <c r="I450" t="s">
        <v>203</v>
      </c>
      <c r="J450" t="s">
        <v>204</v>
      </c>
      <c r="K450" s="2">
        <v>13.25</v>
      </c>
      <c r="L450">
        <v>12</v>
      </c>
      <c r="M450">
        <f t="shared" si="6"/>
        <v>159</v>
      </c>
    </row>
    <row r="451" spans="1:13">
      <c r="A451" t="s">
        <v>201</v>
      </c>
      <c r="B451" t="s">
        <v>202</v>
      </c>
      <c r="C451" s="1">
        <v>39962</v>
      </c>
      <c r="D451" t="s">
        <v>71</v>
      </c>
      <c r="E451" t="s">
        <v>53</v>
      </c>
      <c r="F451" t="s">
        <v>51</v>
      </c>
      <c r="G451" t="s">
        <v>17</v>
      </c>
      <c r="H451" t="s">
        <v>158</v>
      </c>
      <c r="I451" t="s">
        <v>203</v>
      </c>
      <c r="J451" t="s">
        <v>204</v>
      </c>
      <c r="K451" s="2">
        <v>7.75</v>
      </c>
      <c r="L451">
        <v>30</v>
      </c>
      <c r="M451">
        <f t="shared" ref="M451:M514" si="7">K451*L451</f>
        <v>232.5</v>
      </c>
    </row>
    <row r="452" spans="1:13">
      <c r="A452" t="s">
        <v>201</v>
      </c>
      <c r="B452" t="s">
        <v>202</v>
      </c>
      <c r="C452" s="1">
        <v>39526</v>
      </c>
      <c r="D452" t="s">
        <v>98</v>
      </c>
      <c r="E452" t="s">
        <v>15</v>
      </c>
      <c r="F452" t="s">
        <v>99</v>
      </c>
      <c r="G452" t="s">
        <v>39</v>
      </c>
      <c r="H452" t="s">
        <v>158</v>
      </c>
      <c r="I452" t="s">
        <v>203</v>
      </c>
      <c r="J452" t="s">
        <v>204</v>
      </c>
      <c r="K452" s="2">
        <v>4.5</v>
      </c>
      <c r="L452">
        <v>10</v>
      </c>
      <c r="M452">
        <f t="shared" si="7"/>
        <v>45</v>
      </c>
    </row>
    <row r="453" spans="1:13">
      <c r="A453" t="s">
        <v>201</v>
      </c>
      <c r="B453" t="s">
        <v>202</v>
      </c>
      <c r="C453" s="1">
        <v>40101</v>
      </c>
      <c r="D453" t="s">
        <v>137</v>
      </c>
      <c r="E453" t="s">
        <v>103</v>
      </c>
      <c r="F453" t="s">
        <v>76</v>
      </c>
      <c r="G453" t="s">
        <v>17</v>
      </c>
      <c r="H453" t="s">
        <v>158</v>
      </c>
      <c r="I453" t="s">
        <v>203</v>
      </c>
      <c r="J453" t="s">
        <v>204</v>
      </c>
      <c r="K453" s="2">
        <v>12.5</v>
      </c>
      <c r="L453">
        <v>20</v>
      </c>
      <c r="M453">
        <f t="shared" si="7"/>
        <v>250</v>
      </c>
    </row>
    <row r="454" spans="1:13">
      <c r="A454" t="s">
        <v>201</v>
      </c>
      <c r="B454" t="s">
        <v>202</v>
      </c>
      <c r="C454" s="1">
        <v>40047</v>
      </c>
      <c r="D454" t="s">
        <v>185</v>
      </c>
      <c r="E454" t="s">
        <v>24</v>
      </c>
      <c r="F454" t="s">
        <v>134</v>
      </c>
      <c r="G454" t="s">
        <v>17</v>
      </c>
      <c r="H454" t="s">
        <v>158</v>
      </c>
      <c r="I454" t="s">
        <v>203</v>
      </c>
      <c r="J454" t="s">
        <v>204</v>
      </c>
      <c r="K454" s="2">
        <v>18.399999999999999</v>
      </c>
      <c r="L454">
        <v>60</v>
      </c>
      <c r="M454">
        <f t="shared" si="7"/>
        <v>1104</v>
      </c>
    </row>
    <row r="455" spans="1:13">
      <c r="A455" t="s">
        <v>201</v>
      </c>
      <c r="B455" t="s">
        <v>202</v>
      </c>
      <c r="C455" s="1">
        <v>40101</v>
      </c>
      <c r="D455" t="s">
        <v>138</v>
      </c>
      <c r="E455" t="s">
        <v>103</v>
      </c>
      <c r="F455" t="s">
        <v>76</v>
      </c>
      <c r="G455" t="s">
        <v>17</v>
      </c>
      <c r="H455" t="s">
        <v>158</v>
      </c>
      <c r="I455" t="s">
        <v>203</v>
      </c>
      <c r="J455" t="s">
        <v>204</v>
      </c>
      <c r="K455" s="2">
        <v>32</v>
      </c>
      <c r="L455">
        <v>4</v>
      </c>
      <c r="M455">
        <f t="shared" si="7"/>
        <v>128</v>
      </c>
    </row>
    <row r="456" spans="1:13">
      <c r="A456" t="s">
        <v>201</v>
      </c>
      <c r="B456" t="s">
        <v>202</v>
      </c>
      <c r="C456" s="1">
        <v>39645</v>
      </c>
      <c r="D456" t="s">
        <v>49</v>
      </c>
      <c r="E456" t="s">
        <v>24</v>
      </c>
      <c r="F456" t="s">
        <v>51</v>
      </c>
      <c r="G456" t="s">
        <v>17</v>
      </c>
      <c r="H456" t="s">
        <v>158</v>
      </c>
      <c r="I456" t="s">
        <v>203</v>
      </c>
      <c r="J456" t="s">
        <v>204</v>
      </c>
      <c r="K456" s="2">
        <v>10.4</v>
      </c>
      <c r="L456">
        <v>15</v>
      </c>
      <c r="M456">
        <f t="shared" si="7"/>
        <v>156</v>
      </c>
    </row>
    <row r="457" spans="1:13">
      <c r="A457" t="s">
        <v>201</v>
      </c>
      <c r="B457" t="s">
        <v>202</v>
      </c>
      <c r="C457" s="1">
        <v>39903</v>
      </c>
      <c r="D457" t="s">
        <v>52</v>
      </c>
      <c r="E457" t="s">
        <v>50</v>
      </c>
      <c r="F457" t="s">
        <v>54</v>
      </c>
      <c r="G457" t="s">
        <v>17</v>
      </c>
      <c r="H457" t="s">
        <v>158</v>
      </c>
      <c r="I457" t="s">
        <v>203</v>
      </c>
      <c r="J457" t="s">
        <v>204</v>
      </c>
      <c r="K457" s="2">
        <v>44</v>
      </c>
      <c r="L457">
        <v>60</v>
      </c>
      <c r="M457">
        <f t="shared" si="7"/>
        <v>2640</v>
      </c>
    </row>
    <row r="458" spans="1:13">
      <c r="A458" t="s">
        <v>201</v>
      </c>
      <c r="B458" t="s">
        <v>202</v>
      </c>
      <c r="C458" s="1">
        <v>39898</v>
      </c>
      <c r="D458" t="s">
        <v>85</v>
      </c>
      <c r="E458" t="s">
        <v>21</v>
      </c>
      <c r="F458" t="s">
        <v>33</v>
      </c>
      <c r="G458" t="s">
        <v>17</v>
      </c>
      <c r="H458" t="s">
        <v>158</v>
      </c>
      <c r="I458" t="s">
        <v>203</v>
      </c>
      <c r="J458" t="s">
        <v>204</v>
      </c>
      <c r="K458" s="2">
        <v>42.4</v>
      </c>
      <c r="L458">
        <v>25</v>
      </c>
      <c r="M458">
        <f t="shared" si="7"/>
        <v>1060</v>
      </c>
    </row>
    <row r="459" spans="1:13">
      <c r="A459" t="s">
        <v>201</v>
      </c>
      <c r="B459" t="s">
        <v>202</v>
      </c>
      <c r="C459" s="1">
        <v>39566</v>
      </c>
      <c r="D459" t="s">
        <v>98</v>
      </c>
      <c r="E459" t="s">
        <v>50</v>
      </c>
      <c r="F459" t="s">
        <v>99</v>
      </c>
      <c r="G459" t="s">
        <v>39</v>
      </c>
      <c r="H459" t="s">
        <v>158</v>
      </c>
      <c r="I459" t="s">
        <v>203</v>
      </c>
      <c r="J459" t="s">
        <v>204</v>
      </c>
      <c r="K459" s="2">
        <v>4.5</v>
      </c>
      <c r="L459">
        <v>15</v>
      </c>
      <c r="M459">
        <f t="shared" si="7"/>
        <v>67.5</v>
      </c>
    </row>
    <row r="460" spans="1:13">
      <c r="A460" t="s">
        <v>201</v>
      </c>
      <c r="B460" t="s">
        <v>202</v>
      </c>
      <c r="C460" s="1">
        <v>39903</v>
      </c>
      <c r="D460" t="s">
        <v>71</v>
      </c>
      <c r="E460" t="s">
        <v>50</v>
      </c>
      <c r="F460" t="s">
        <v>51</v>
      </c>
      <c r="G460" t="s">
        <v>17</v>
      </c>
      <c r="H460" t="s">
        <v>158</v>
      </c>
      <c r="I460" t="s">
        <v>203</v>
      </c>
      <c r="J460" t="s">
        <v>204</v>
      </c>
      <c r="K460" s="2">
        <v>6.2</v>
      </c>
      <c r="L460">
        <v>36</v>
      </c>
      <c r="M460">
        <f t="shared" si="7"/>
        <v>223.20000000000002</v>
      </c>
    </row>
    <row r="461" spans="1:13">
      <c r="A461" t="s">
        <v>201</v>
      </c>
      <c r="B461" t="s">
        <v>202</v>
      </c>
      <c r="C461" s="1">
        <v>40023</v>
      </c>
      <c r="D461" t="s">
        <v>71</v>
      </c>
      <c r="E461" t="s">
        <v>24</v>
      </c>
      <c r="F461" t="s">
        <v>51</v>
      </c>
      <c r="G461" t="s">
        <v>17</v>
      </c>
      <c r="H461" t="s">
        <v>158</v>
      </c>
      <c r="I461" t="s">
        <v>203</v>
      </c>
      <c r="J461" t="s">
        <v>204</v>
      </c>
      <c r="K461" s="2">
        <v>7.75</v>
      </c>
      <c r="L461">
        <v>40</v>
      </c>
      <c r="M461">
        <f t="shared" si="7"/>
        <v>310</v>
      </c>
    </row>
    <row r="462" spans="1:13">
      <c r="A462" t="s">
        <v>201</v>
      </c>
      <c r="B462" t="s">
        <v>202</v>
      </c>
      <c r="C462" s="1">
        <v>39717</v>
      </c>
      <c r="D462" t="s">
        <v>32</v>
      </c>
      <c r="E462" t="s">
        <v>89</v>
      </c>
      <c r="F462" t="s">
        <v>33</v>
      </c>
      <c r="G462" t="s">
        <v>17</v>
      </c>
      <c r="H462" t="s">
        <v>158</v>
      </c>
      <c r="I462" t="s">
        <v>203</v>
      </c>
      <c r="J462" t="s">
        <v>204</v>
      </c>
      <c r="K462" s="2">
        <v>26.2</v>
      </c>
      <c r="L462">
        <v>70</v>
      </c>
      <c r="M462">
        <f t="shared" si="7"/>
        <v>1834</v>
      </c>
    </row>
    <row r="463" spans="1:13">
      <c r="A463" t="s">
        <v>201</v>
      </c>
      <c r="B463" t="s">
        <v>202</v>
      </c>
      <c r="C463" s="1">
        <v>39717</v>
      </c>
      <c r="D463" t="s">
        <v>70</v>
      </c>
      <c r="E463" t="s">
        <v>89</v>
      </c>
      <c r="F463" t="s">
        <v>61</v>
      </c>
      <c r="G463" t="s">
        <v>17</v>
      </c>
      <c r="H463" t="s">
        <v>158</v>
      </c>
      <c r="I463" t="s">
        <v>203</v>
      </c>
      <c r="J463" t="s">
        <v>204</v>
      </c>
      <c r="K463" s="2">
        <v>9.6</v>
      </c>
      <c r="L463">
        <v>28</v>
      </c>
      <c r="M463">
        <f t="shared" si="7"/>
        <v>268.8</v>
      </c>
    </row>
    <row r="464" spans="1:13">
      <c r="A464" t="s">
        <v>201</v>
      </c>
      <c r="B464" t="s">
        <v>202</v>
      </c>
      <c r="C464" s="1">
        <v>39903</v>
      </c>
      <c r="D464" t="s">
        <v>82</v>
      </c>
      <c r="E464" t="s">
        <v>50</v>
      </c>
      <c r="F464" t="s">
        <v>35</v>
      </c>
      <c r="G464" t="s">
        <v>17</v>
      </c>
      <c r="H464" t="s">
        <v>158</v>
      </c>
      <c r="I464" t="s">
        <v>203</v>
      </c>
      <c r="J464" t="s">
        <v>204</v>
      </c>
      <c r="K464" s="2">
        <v>10</v>
      </c>
      <c r="L464">
        <v>30</v>
      </c>
      <c r="M464">
        <f t="shared" si="7"/>
        <v>300</v>
      </c>
    </row>
    <row r="465" spans="1:13">
      <c r="A465" t="s">
        <v>205</v>
      </c>
      <c r="B465" t="s">
        <v>206</v>
      </c>
      <c r="C465" s="1">
        <v>39952</v>
      </c>
      <c r="D465" t="s">
        <v>121</v>
      </c>
      <c r="E465" t="s">
        <v>53</v>
      </c>
      <c r="F465" t="s">
        <v>41</v>
      </c>
      <c r="G465" t="s">
        <v>17</v>
      </c>
      <c r="H465" t="s">
        <v>176</v>
      </c>
      <c r="I465" t="s">
        <v>207</v>
      </c>
      <c r="J465" t="s">
        <v>208</v>
      </c>
      <c r="K465" s="2">
        <v>21.5</v>
      </c>
      <c r="L465">
        <v>9</v>
      </c>
      <c r="M465">
        <f t="shared" si="7"/>
        <v>193.5</v>
      </c>
    </row>
    <row r="466" spans="1:13">
      <c r="A466" t="s">
        <v>205</v>
      </c>
      <c r="B466" t="s">
        <v>206</v>
      </c>
      <c r="C466" s="1">
        <v>39565</v>
      </c>
      <c r="D466" t="s">
        <v>28</v>
      </c>
      <c r="E466" t="s">
        <v>15</v>
      </c>
      <c r="F466" t="s">
        <v>29</v>
      </c>
      <c r="G466" t="s">
        <v>39</v>
      </c>
      <c r="H466" t="s">
        <v>176</v>
      </c>
      <c r="I466" t="s">
        <v>207</v>
      </c>
      <c r="J466" t="s">
        <v>208</v>
      </c>
      <c r="K466" s="2">
        <v>28.5</v>
      </c>
      <c r="L466">
        <v>10</v>
      </c>
      <c r="M466">
        <f t="shared" si="7"/>
        <v>285</v>
      </c>
    </row>
    <row r="467" spans="1:13">
      <c r="A467" t="s">
        <v>205</v>
      </c>
      <c r="B467" t="s">
        <v>206</v>
      </c>
      <c r="C467" s="1">
        <v>39637</v>
      </c>
      <c r="D467" t="s">
        <v>133</v>
      </c>
      <c r="E467" t="s">
        <v>24</v>
      </c>
      <c r="F467" t="s">
        <v>134</v>
      </c>
      <c r="G467" t="s">
        <v>17</v>
      </c>
      <c r="H467" t="s">
        <v>176</v>
      </c>
      <c r="I467" t="s">
        <v>207</v>
      </c>
      <c r="J467" t="s">
        <v>208</v>
      </c>
      <c r="K467" s="2">
        <v>7.7</v>
      </c>
      <c r="L467">
        <v>10</v>
      </c>
      <c r="M467">
        <f t="shared" si="7"/>
        <v>77</v>
      </c>
    </row>
    <row r="468" spans="1:13">
      <c r="A468" t="s">
        <v>205</v>
      </c>
      <c r="B468" t="s">
        <v>206</v>
      </c>
      <c r="C468" s="1">
        <v>39637</v>
      </c>
      <c r="D468" t="s">
        <v>95</v>
      </c>
      <c r="E468" t="s">
        <v>24</v>
      </c>
      <c r="F468" t="s">
        <v>27</v>
      </c>
      <c r="G468" t="s">
        <v>17</v>
      </c>
      <c r="H468" t="s">
        <v>176</v>
      </c>
      <c r="I468" t="s">
        <v>207</v>
      </c>
      <c r="J468" t="s">
        <v>208</v>
      </c>
      <c r="K468" s="2">
        <v>16.8</v>
      </c>
      <c r="L468">
        <v>15</v>
      </c>
      <c r="M468">
        <f t="shared" si="7"/>
        <v>252</v>
      </c>
    </row>
    <row r="469" spans="1:13">
      <c r="A469" t="s">
        <v>205</v>
      </c>
      <c r="B469" t="s">
        <v>206</v>
      </c>
      <c r="C469" s="1">
        <v>39637</v>
      </c>
      <c r="D469" t="s">
        <v>85</v>
      </c>
      <c r="E469" t="s">
        <v>24</v>
      </c>
      <c r="F469" t="s">
        <v>33</v>
      </c>
      <c r="G469" t="s">
        <v>17</v>
      </c>
      <c r="H469" t="s">
        <v>176</v>
      </c>
      <c r="I469" t="s">
        <v>207</v>
      </c>
      <c r="J469" t="s">
        <v>208</v>
      </c>
      <c r="K469" s="2">
        <v>42.4</v>
      </c>
      <c r="L469">
        <v>35</v>
      </c>
      <c r="M469">
        <f t="shared" si="7"/>
        <v>1484</v>
      </c>
    </row>
    <row r="470" spans="1:13">
      <c r="A470" t="s">
        <v>205</v>
      </c>
      <c r="B470" t="s">
        <v>206</v>
      </c>
      <c r="C470" s="1">
        <v>39952</v>
      </c>
      <c r="D470" t="s">
        <v>55</v>
      </c>
      <c r="E470" t="s">
        <v>53</v>
      </c>
      <c r="F470" t="s">
        <v>56</v>
      </c>
      <c r="G470" t="s">
        <v>17</v>
      </c>
      <c r="H470" t="s">
        <v>176</v>
      </c>
      <c r="I470" t="s">
        <v>207</v>
      </c>
      <c r="J470" t="s">
        <v>208</v>
      </c>
      <c r="K470" s="2">
        <v>263.5</v>
      </c>
      <c r="L470">
        <v>4</v>
      </c>
      <c r="M470">
        <f t="shared" si="7"/>
        <v>1054</v>
      </c>
    </row>
    <row r="471" spans="1:13">
      <c r="A471" t="s">
        <v>205</v>
      </c>
      <c r="B471" t="s">
        <v>206</v>
      </c>
      <c r="C471" s="1">
        <v>40088</v>
      </c>
      <c r="D471" t="s">
        <v>49</v>
      </c>
      <c r="E471" t="s">
        <v>21</v>
      </c>
      <c r="F471" t="s">
        <v>51</v>
      </c>
      <c r="G471" t="s">
        <v>17</v>
      </c>
      <c r="H471" t="s">
        <v>176</v>
      </c>
      <c r="I471" t="s">
        <v>207</v>
      </c>
      <c r="J471" t="s">
        <v>208</v>
      </c>
      <c r="K471" s="2">
        <v>13</v>
      </c>
      <c r="L471">
        <v>30</v>
      </c>
      <c r="M471">
        <f t="shared" si="7"/>
        <v>390</v>
      </c>
    </row>
    <row r="472" spans="1:13">
      <c r="A472" t="s">
        <v>205</v>
      </c>
      <c r="B472" t="s">
        <v>206</v>
      </c>
      <c r="C472" s="1">
        <v>39565</v>
      </c>
      <c r="D472" t="s">
        <v>94</v>
      </c>
      <c r="E472" t="s">
        <v>15</v>
      </c>
      <c r="F472" t="s">
        <v>74</v>
      </c>
      <c r="G472" t="s">
        <v>39</v>
      </c>
      <c r="H472" t="s">
        <v>176</v>
      </c>
      <c r="I472" t="s">
        <v>207</v>
      </c>
      <c r="J472" t="s">
        <v>208</v>
      </c>
      <c r="K472" s="2">
        <v>46</v>
      </c>
      <c r="L472">
        <v>30</v>
      </c>
      <c r="M472">
        <f t="shared" si="7"/>
        <v>1380</v>
      </c>
    </row>
    <row r="473" spans="1:13">
      <c r="A473" t="s">
        <v>205</v>
      </c>
      <c r="B473" t="s">
        <v>206</v>
      </c>
      <c r="C473" s="1">
        <v>39491</v>
      </c>
      <c r="D473" t="s">
        <v>49</v>
      </c>
      <c r="E473" t="s">
        <v>21</v>
      </c>
      <c r="F473" t="s">
        <v>51</v>
      </c>
      <c r="G473" t="s">
        <v>39</v>
      </c>
      <c r="H473" t="s">
        <v>176</v>
      </c>
      <c r="I473" t="s">
        <v>207</v>
      </c>
      <c r="J473" t="s">
        <v>208</v>
      </c>
      <c r="K473" s="2">
        <v>13</v>
      </c>
      <c r="L473">
        <v>40</v>
      </c>
      <c r="M473">
        <f t="shared" si="7"/>
        <v>520</v>
      </c>
    </row>
    <row r="474" spans="1:13">
      <c r="A474" t="s">
        <v>205</v>
      </c>
      <c r="B474" t="s">
        <v>206</v>
      </c>
      <c r="C474" s="1">
        <v>39510</v>
      </c>
      <c r="D474" t="s">
        <v>98</v>
      </c>
      <c r="E474" t="s">
        <v>66</v>
      </c>
      <c r="F474" t="s">
        <v>99</v>
      </c>
      <c r="G474" t="s">
        <v>39</v>
      </c>
      <c r="H474" t="s">
        <v>176</v>
      </c>
      <c r="I474" t="s">
        <v>207</v>
      </c>
      <c r="J474" t="s">
        <v>208</v>
      </c>
      <c r="K474" s="2">
        <v>4.5</v>
      </c>
      <c r="L474">
        <v>35</v>
      </c>
      <c r="M474">
        <f t="shared" si="7"/>
        <v>157.5</v>
      </c>
    </row>
    <row r="475" spans="1:13">
      <c r="A475" t="s">
        <v>205</v>
      </c>
      <c r="B475" t="s">
        <v>206</v>
      </c>
      <c r="C475" s="1">
        <v>40065</v>
      </c>
      <c r="D475" t="s">
        <v>131</v>
      </c>
      <c r="E475" t="s">
        <v>67</v>
      </c>
      <c r="F475" t="s">
        <v>132</v>
      </c>
      <c r="G475" t="s">
        <v>39</v>
      </c>
      <c r="H475" t="s">
        <v>176</v>
      </c>
      <c r="I475" t="s">
        <v>207</v>
      </c>
      <c r="J475" t="s">
        <v>208</v>
      </c>
      <c r="K475" s="2">
        <v>21</v>
      </c>
      <c r="L475">
        <v>15</v>
      </c>
      <c r="M475">
        <f t="shared" si="7"/>
        <v>315</v>
      </c>
    </row>
    <row r="476" spans="1:13">
      <c r="A476" t="s">
        <v>205</v>
      </c>
      <c r="B476" t="s">
        <v>206</v>
      </c>
      <c r="C476" s="1">
        <v>39952</v>
      </c>
      <c r="D476" t="s">
        <v>95</v>
      </c>
      <c r="E476" t="s">
        <v>53</v>
      </c>
      <c r="F476" t="s">
        <v>27</v>
      </c>
      <c r="G476" t="s">
        <v>17</v>
      </c>
      <c r="H476" t="s">
        <v>176</v>
      </c>
      <c r="I476" t="s">
        <v>207</v>
      </c>
      <c r="J476" t="s">
        <v>208</v>
      </c>
      <c r="K476" s="2">
        <v>21.05</v>
      </c>
      <c r="L476">
        <v>36</v>
      </c>
      <c r="M476">
        <f t="shared" si="7"/>
        <v>757.80000000000007</v>
      </c>
    </row>
    <row r="477" spans="1:13">
      <c r="A477" t="s">
        <v>205</v>
      </c>
      <c r="B477" t="s">
        <v>206</v>
      </c>
      <c r="C477" s="1">
        <v>40051</v>
      </c>
      <c r="D477" t="s">
        <v>42</v>
      </c>
      <c r="E477" t="s">
        <v>24</v>
      </c>
      <c r="F477" t="s">
        <v>22</v>
      </c>
      <c r="G477" t="s">
        <v>17</v>
      </c>
      <c r="H477" t="s">
        <v>176</v>
      </c>
      <c r="I477" t="s">
        <v>207</v>
      </c>
      <c r="J477" t="s">
        <v>208</v>
      </c>
      <c r="K477" s="2">
        <v>62.5</v>
      </c>
      <c r="L477">
        <v>20</v>
      </c>
      <c r="M477">
        <f t="shared" si="7"/>
        <v>1250</v>
      </c>
    </row>
    <row r="478" spans="1:13">
      <c r="A478" t="s">
        <v>205</v>
      </c>
      <c r="B478" t="s">
        <v>206</v>
      </c>
      <c r="C478" s="1">
        <v>39952</v>
      </c>
      <c r="D478" t="s">
        <v>98</v>
      </c>
      <c r="E478" t="s">
        <v>53</v>
      </c>
      <c r="F478" t="s">
        <v>99</v>
      </c>
      <c r="G478" t="s">
        <v>17</v>
      </c>
      <c r="H478" t="s">
        <v>176</v>
      </c>
      <c r="I478" t="s">
        <v>207</v>
      </c>
      <c r="J478" t="s">
        <v>208</v>
      </c>
      <c r="K478" s="2">
        <v>4.5</v>
      </c>
      <c r="L478">
        <v>35</v>
      </c>
      <c r="M478">
        <f t="shared" si="7"/>
        <v>157.5</v>
      </c>
    </row>
    <row r="479" spans="1:13">
      <c r="A479" t="s">
        <v>205</v>
      </c>
      <c r="B479" t="s">
        <v>206</v>
      </c>
      <c r="C479" s="1">
        <v>39534</v>
      </c>
      <c r="D479" t="s">
        <v>55</v>
      </c>
      <c r="E479" t="s">
        <v>21</v>
      </c>
      <c r="F479" t="s">
        <v>56</v>
      </c>
      <c r="G479" t="s">
        <v>39</v>
      </c>
      <c r="H479" t="s">
        <v>176</v>
      </c>
      <c r="I479" t="s">
        <v>207</v>
      </c>
      <c r="J479" t="s">
        <v>208</v>
      </c>
      <c r="K479" s="2">
        <v>263.5</v>
      </c>
      <c r="L479">
        <v>60</v>
      </c>
      <c r="M479">
        <f t="shared" si="7"/>
        <v>15810</v>
      </c>
    </row>
    <row r="480" spans="1:13">
      <c r="A480" t="s">
        <v>205</v>
      </c>
      <c r="B480" t="s">
        <v>206</v>
      </c>
      <c r="C480" s="1">
        <v>39639</v>
      </c>
      <c r="D480" t="s">
        <v>137</v>
      </c>
      <c r="E480" t="s">
        <v>15</v>
      </c>
      <c r="F480" t="s">
        <v>76</v>
      </c>
      <c r="G480" t="s">
        <v>17</v>
      </c>
      <c r="H480" t="s">
        <v>176</v>
      </c>
      <c r="I480" t="s">
        <v>207</v>
      </c>
      <c r="J480" t="s">
        <v>208</v>
      </c>
      <c r="K480" s="2">
        <v>10</v>
      </c>
      <c r="L480">
        <v>20</v>
      </c>
      <c r="M480">
        <f t="shared" si="7"/>
        <v>200</v>
      </c>
    </row>
    <row r="481" spans="1:13">
      <c r="A481" t="s">
        <v>205</v>
      </c>
      <c r="B481" t="s">
        <v>206</v>
      </c>
      <c r="C481" s="1">
        <v>39491</v>
      </c>
      <c r="D481" t="s">
        <v>102</v>
      </c>
      <c r="E481" t="s">
        <v>21</v>
      </c>
      <c r="F481" t="s">
        <v>47</v>
      </c>
      <c r="G481" t="s">
        <v>39</v>
      </c>
      <c r="H481" t="s">
        <v>176</v>
      </c>
      <c r="I481" t="s">
        <v>207</v>
      </c>
      <c r="J481" t="s">
        <v>208</v>
      </c>
      <c r="K481" s="2">
        <v>31</v>
      </c>
      <c r="L481">
        <v>70</v>
      </c>
      <c r="M481">
        <f t="shared" si="7"/>
        <v>2170</v>
      </c>
    </row>
    <row r="482" spans="1:13">
      <c r="A482" t="s">
        <v>205</v>
      </c>
      <c r="B482" t="s">
        <v>206</v>
      </c>
      <c r="C482" s="1">
        <v>39511</v>
      </c>
      <c r="D482" t="s">
        <v>120</v>
      </c>
      <c r="E482" t="s">
        <v>15</v>
      </c>
      <c r="F482" t="s">
        <v>33</v>
      </c>
      <c r="G482" t="s">
        <v>39</v>
      </c>
      <c r="H482" t="s">
        <v>176</v>
      </c>
      <c r="I482" t="s">
        <v>207</v>
      </c>
      <c r="J482" t="s">
        <v>208</v>
      </c>
      <c r="K482" s="2">
        <v>7</v>
      </c>
      <c r="L482">
        <v>12</v>
      </c>
      <c r="M482">
        <f t="shared" si="7"/>
        <v>84</v>
      </c>
    </row>
    <row r="483" spans="1:13">
      <c r="A483" t="s">
        <v>205</v>
      </c>
      <c r="B483" t="s">
        <v>206</v>
      </c>
      <c r="C483" s="1">
        <v>39511</v>
      </c>
      <c r="D483" t="s">
        <v>57</v>
      </c>
      <c r="E483" t="s">
        <v>15</v>
      </c>
      <c r="F483" t="s">
        <v>58</v>
      </c>
      <c r="G483" t="s">
        <v>39</v>
      </c>
      <c r="H483" t="s">
        <v>176</v>
      </c>
      <c r="I483" t="s">
        <v>207</v>
      </c>
      <c r="J483" t="s">
        <v>208</v>
      </c>
      <c r="K483" s="2">
        <v>19</v>
      </c>
      <c r="L483">
        <v>25</v>
      </c>
      <c r="M483">
        <f t="shared" si="7"/>
        <v>475</v>
      </c>
    </row>
    <row r="484" spans="1:13">
      <c r="A484" t="s">
        <v>205</v>
      </c>
      <c r="B484" t="s">
        <v>206</v>
      </c>
      <c r="C484" s="1">
        <v>40074</v>
      </c>
      <c r="D484" t="s">
        <v>55</v>
      </c>
      <c r="E484" t="s">
        <v>24</v>
      </c>
      <c r="F484" t="s">
        <v>56</v>
      </c>
      <c r="G484" t="s">
        <v>39</v>
      </c>
      <c r="H484" t="s">
        <v>176</v>
      </c>
      <c r="I484" t="s">
        <v>207</v>
      </c>
      <c r="J484" t="s">
        <v>208</v>
      </c>
      <c r="K484" s="2">
        <v>263.5</v>
      </c>
      <c r="L484">
        <v>5</v>
      </c>
      <c r="M484">
        <f t="shared" si="7"/>
        <v>1317.5</v>
      </c>
    </row>
    <row r="485" spans="1:13">
      <c r="A485" t="s">
        <v>205</v>
      </c>
      <c r="B485" t="s">
        <v>206</v>
      </c>
      <c r="C485" s="1">
        <v>40074</v>
      </c>
      <c r="D485" t="s">
        <v>137</v>
      </c>
      <c r="E485" t="s">
        <v>24</v>
      </c>
      <c r="F485" t="s">
        <v>76</v>
      </c>
      <c r="G485" t="s">
        <v>39</v>
      </c>
      <c r="H485" t="s">
        <v>176</v>
      </c>
      <c r="I485" t="s">
        <v>207</v>
      </c>
      <c r="J485" t="s">
        <v>208</v>
      </c>
      <c r="K485" s="2">
        <v>12.5</v>
      </c>
      <c r="L485">
        <v>10</v>
      </c>
      <c r="M485">
        <f t="shared" si="7"/>
        <v>125</v>
      </c>
    </row>
    <row r="486" spans="1:13">
      <c r="A486" t="s">
        <v>205</v>
      </c>
      <c r="B486" t="s">
        <v>206</v>
      </c>
      <c r="C486" s="1">
        <v>39552</v>
      </c>
      <c r="D486" t="s">
        <v>43</v>
      </c>
      <c r="E486" t="s">
        <v>103</v>
      </c>
      <c r="F486" t="s">
        <v>41</v>
      </c>
      <c r="G486" t="s">
        <v>39</v>
      </c>
      <c r="H486" t="s">
        <v>176</v>
      </c>
      <c r="I486" t="s">
        <v>207</v>
      </c>
      <c r="J486" t="s">
        <v>208</v>
      </c>
      <c r="K486" s="2">
        <v>36</v>
      </c>
      <c r="L486">
        <v>30</v>
      </c>
      <c r="M486">
        <f t="shared" si="7"/>
        <v>1080</v>
      </c>
    </row>
    <row r="487" spans="1:13">
      <c r="A487" t="s">
        <v>205</v>
      </c>
      <c r="B487" t="s">
        <v>206</v>
      </c>
      <c r="C487" s="1">
        <v>40051</v>
      </c>
      <c r="D487" t="s">
        <v>57</v>
      </c>
      <c r="E487" t="s">
        <v>24</v>
      </c>
      <c r="F487" t="s">
        <v>58</v>
      </c>
      <c r="G487" t="s">
        <v>17</v>
      </c>
      <c r="H487" t="s">
        <v>176</v>
      </c>
      <c r="I487" t="s">
        <v>207</v>
      </c>
      <c r="J487" t="s">
        <v>208</v>
      </c>
      <c r="K487" s="2">
        <v>19</v>
      </c>
      <c r="L487">
        <v>15</v>
      </c>
      <c r="M487">
        <f t="shared" si="7"/>
        <v>285</v>
      </c>
    </row>
    <row r="488" spans="1:13">
      <c r="A488" t="s">
        <v>205</v>
      </c>
      <c r="B488" t="s">
        <v>206</v>
      </c>
      <c r="C488" s="1">
        <v>39502</v>
      </c>
      <c r="D488" t="s">
        <v>82</v>
      </c>
      <c r="E488" t="s">
        <v>15</v>
      </c>
      <c r="F488" t="s">
        <v>35</v>
      </c>
      <c r="G488" t="s">
        <v>39</v>
      </c>
      <c r="H488" t="s">
        <v>176</v>
      </c>
      <c r="I488" t="s">
        <v>207</v>
      </c>
      <c r="J488" t="s">
        <v>208</v>
      </c>
      <c r="K488" s="2">
        <v>12.5</v>
      </c>
      <c r="L488">
        <v>20</v>
      </c>
      <c r="M488">
        <f t="shared" si="7"/>
        <v>250</v>
      </c>
    </row>
    <row r="489" spans="1:13">
      <c r="A489" t="s">
        <v>205</v>
      </c>
      <c r="B489" t="s">
        <v>206</v>
      </c>
      <c r="C489" s="1">
        <v>39510</v>
      </c>
      <c r="D489" t="s">
        <v>48</v>
      </c>
      <c r="E489" t="s">
        <v>66</v>
      </c>
      <c r="F489" t="s">
        <v>22</v>
      </c>
      <c r="G489" t="s">
        <v>39</v>
      </c>
      <c r="H489" t="s">
        <v>176</v>
      </c>
      <c r="I489" t="s">
        <v>207</v>
      </c>
      <c r="J489" t="s">
        <v>208</v>
      </c>
      <c r="K489" s="2">
        <v>39</v>
      </c>
      <c r="L489">
        <v>15</v>
      </c>
      <c r="M489">
        <f t="shared" si="7"/>
        <v>585</v>
      </c>
    </row>
    <row r="490" spans="1:13">
      <c r="A490" t="s">
        <v>205</v>
      </c>
      <c r="B490" t="s">
        <v>206</v>
      </c>
      <c r="C490" s="1">
        <v>40088</v>
      </c>
      <c r="D490" t="s">
        <v>62</v>
      </c>
      <c r="E490" t="s">
        <v>21</v>
      </c>
      <c r="F490" t="s">
        <v>63</v>
      </c>
      <c r="G490" t="s">
        <v>17</v>
      </c>
      <c r="H490" t="s">
        <v>176</v>
      </c>
      <c r="I490" t="s">
        <v>207</v>
      </c>
      <c r="J490" t="s">
        <v>208</v>
      </c>
      <c r="K490" s="2">
        <v>38</v>
      </c>
      <c r="L490">
        <v>20</v>
      </c>
      <c r="M490">
        <f t="shared" si="7"/>
        <v>760</v>
      </c>
    </row>
    <row r="491" spans="1:13">
      <c r="A491" t="s">
        <v>205</v>
      </c>
      <c r="B491" t="s">
        <v>206</v>
      </c>
      <c r="C491" s="1">
        <v>39639</v>
      </c>
      <c r="D491" t="s">
        <v>119</v>
      </c>
      <c r="E491" t="s">
        <v>15</v>
      </c>
      <c r="F491" t="s">
        <v>97</v>
      </c>
      <c r="G491" t="s">
        <v>17</v>
      </c>
      <c r="H491" t="s">
        <v>176</v>
      </c>
      <c r="I491" t="s">
        <v>207</v>
      </c>
      <c r="J491" t="s">
        <v>208</v>
      </c>
      <c r="K491" s="2">
        <v>16</v>
      </c>
      <c r="L491">
        <v>40</v>
      </c>
      <c r="M491">
        <f t="shared" si="7"/>
        <v>640</v>
      </c>
    </row>
    <row r="492" spans="1:13">
      <c r="A492" t="s">
        <v>205</v>
      </c>
      <c r="B492" t="s">
        <v>206</v>
      </c>
      <c r="C492" s="1">
        <v>39639</v>
      </c>
      <c r="D492" t="s">
        <v>109</v>
      </c>
      <c r="E492" t="s">
        <v>15</v>
      </c>
      <c r="F492" t="s">
        <v>56</v>
      </c>
      <c r="G492" t="s">
        <v>17</v>
      </c>
      <c r="H492" t="s">
        <v>176</v>
      </c>
      <c r="I492" t="s">
        <v>207</v>
      </c>
      <c r="J492" t="s">
        <v>208</v>
      </c>
      <c r="K492" s="2">
        <v>14.4</v>
      </c>
      <c r="L492">
        <v>42</v>
      </c>
      <c r="M492">
        <f t="shared" si="7"/>
        <v>604.80000000000007</v>
      </c>
    </row>
    <row r="493" spans="1:13">
      <c r="A493" t="s">
        <v>205</v>
      </c>
      <c r="B493" t="s">
        <v>206</v>
      </c>
      <c r="C493" s="1">
        <v>39491</v>
      </c>
      <c r="D493" t="s">
        <v>137</v>
      </c>
      <c r="E493" t="s">
        <v>21</v>
      </c>
      <c r="F493" t="s">
        <v>76</v>
      </c>
      <c r="G493" t="s">
        <v>39</v>
      </c>
      <c r="H493" t="s">
        <v>176</v>
      </c>
      <c r="I493" t="s">
        <v>207</v>
      </c>
      <c r="J493" t="s">
        <v>208</v>
      </c>
      <c r="K493" s="2">
        <v>12.5</v>
      </c>
      <c r="L493">
        <v>35</v>
      </c>
      <c r="M493">
        <f t="shared" si="7"/>
        <v>437.5</v>
      </c>
    </row>
    <row r="494" spans="1:13">
      <c r="A494" t="s">
        <v>205</v>
      </c>
      <c r="B494" t="s">
        <v>206</v>
      </c>
      <c r="C494" s="1">
        <v>39502</v>
      </c>
      <c r="D494" t="s">
        <v>124</v>
      </c>
      <c r="E494" t="s">
        <v>15</v>
      </c>
      <c r="F494" t="s">
        <v>125</v>
      </c>
      <c r="G494" t="s">
        <v>39</v>
      </c>
      <c r="H494" t="s">
        <v>176</v>
      </c>
      <c r="I494" t="s">
        <v>207</v>
      </c>
      <c r="J494" t="s">
        <v>208</v>
      </c>
      <c r="K494" s="2">
        <v>6</v>
      </c>
      <c r="L494">
        <v>40</v>
      </c>
      <c r="M494">
        <f t="shared" si="7"/>
        <v>240</v>
      </c>
    </row>
    <row r="495" spans="1:13">
      <c r="A495" t="s">
        <v>205</v>
      </c>
      <c r="B495" t="s">
        <v>206</v>
      </c>
      <c r="C495" s="1">
        <v>39502</v>
      </c>
      <c r="D495" t="s">
        <v>95</v>
      </c>
      <c r="E495" t="s">
        <v>15</v>
      </c>
      <c r="F495" t="s">
        <v>27</v>
      </c>
      <c r="G495" t="s">
        <v>39</v>
      </c>
      <c r="H495" t="s">
        <v>176</v>
      </c>
      <c r="I495" t="s">
        <v>207</v>
      </c>
      <c r="J495" t="s">
        <v>208</v>
      </c>
      <c r="K495" s="2">
        <v>21.05</v>
      </c>
      <c r="L495">
        <v>21</v>
      </c>
      <c r="M495">
        <f t="shared" si="7"/>
        <v>442.05</v>
      </c>
    </row>
    <row r="496" spans="1:13">
      <c r="A496" t="s">
        <v>205</v>
      </c>
      <c r="B496" t="s">
        <v>206</v>
      </c>
      <c r="C496" s="1">
        <v>39552</v>
      </c>
      <c r="D496" t="s">
        <v>64</v>
      </c>
      <c r="E496" t="s">
        <v>103</v>
      </c>
      <c r="F496" t="s">
        <v>35</v>
      </c>
      <c r="G496" t="s">
        <v>39</v>
      </c>
      <c r="H496" t="s">
        <v>176</v>
      </c>
      <c r="I496" t="s">
        <v>207</v>
      </c>
      <c r="J496" t="s">
        <v>208</v>
      </c>
      <c r="K496" s="2">
        <v>9.1999999999999993</v>
      </c>
      <c r="L496">
        <v>35</v>
      </c>
      <c r="M496">
        <f t="shared" si="7"/>
        <v>322</v>
      </c>
    </row>
    <row r="497" spans="1:13">
      <c r="A497" t="s">
        <v>209</v>
      </c>
      <c r="B497" t="s">
        <v>210</v>
      </c>
      <c r="C497" s="1">
        <v>39647</v>
      </c>
      <c r="D497" t="s">
        <v>135</v>
      </c>
      <c r="E497" t="s">
        <v>24</v>
      </c>
      <c r="F497" t="s">
        <v>58</v>
      </c>
      <c r="G497" t="s">
        <v>17</v>
      </c>
      <c r="H497" t="s">
        <v>211</v>
      </c>
      <c r="J497" t="s">
        <v>212</v>
      </c>
      <c r="K497" s="2">
        <v>20.8</v>
      </c>
      <c r="L497">
        <v>1</v>
      </c>
      <c r="M497">
        <f t="shared" si="7"/>
        <v>20.8</v>
      </c>
    </row>
    <row r="498" spans="1:13">
      <c r="A498" t="s">
        <v>209</v>
      </c>
      <c r="B498" t="s">
        <v>210</v>
      </c>
      <c r="C498" s="1">
        <v>39647</v>
      </c>
      <c r="D498" t="s">
        <v>34</v>
      </c>
      <c r="E498" t="s">
        <v>24</v>
      </c>
      <c r="F498" t="s">
        <v>35</v>
      </c>
      <c r="G498" t="s">
        <v>17</v>
      </c>
      <c r="H498" t="s">
        <v>211</v>
      </c>
      <c r="J498" t="s">
        <v>212</v>
      </c>
      <c r="K498" s="2">
        <v>8</v>
      </c>
      <c r="L498">
        <v>10</v>
      </c>
      <c r="M498">
        <f t="shared" si="7"/>
        <v>80</v>
      </c>
    </row>
    <row r="499" spans="1:13">
      <c r="A499" t="s">
        <v>213</v>
      </c>
      <c r="B499" t="s">
        <v>214</v>
      </c>
      <c r="C499" s="1">
        <v>39940</v>
      </c>
      <c r="D499" t="s">
        <v>148</v>
      </c>
      <c r="E499" t="s">
        <v>66</v>
      </c>
      <c r="F499" t="s">
        <v>16</v>
      </c>
      <c r="G499" t="s">
        <v>17</v>
      </c>
      <c r="H499" t="s">
        <v>215</v>
      </c>
      <c r="I499" t="s">
        <v>216</v>
      </c>
      <c r="J499" t="s">
        <v>217</v>
      </c>
      <c r="K499" s="2">
        <v>24</v>
      </c>
      <c r="L499">
        <v>14</v>
      </c>
      <c r="M499">
        <f t="shared" si="7"/>
        <v>336</v>
      </c>
    </row>
    <row r="500" spans="1:13">
      <c r="A500" t="s">
        <v>213</v>
      </c>
      <c r="B500" t="s">
        <v>214</v>
      </c>
      <c r="C500" s="1">
        <v>40057</v>
      </c>
      <c r="D500" t="s">
        <v>150</v>
      </c>
      <c r="E500" t="s">
        <v>24</v>
      </c>
      <c r="F500" t="s">
        <v>31</v>
      </c>
      <c r="G500" t="s">
        <v>39</v>
      </c>
      <c r="H500" t="s">
        <v>215</v>
      </c>
      <c r="I500" t="s">
        <v>216</v>
      </c>
      <c r="J500" t="s">
        <v>217</v>
      </c>
      <c r="K500" s="2">
        <v>43.9</v>
      </c>
      <c r="L500">
        <v>40</v>
      </c>
      <c r="M500">
        <f t="shared" si="7"/>
        <v>1756</v>
      </c>
    </row>
    <row r="501" spans="1:13">
      <c r="A501" t="s">
        <v>213</v>
      </c>
      <c r="B501" t="s">
        <v>214</v>
      </c>
      <c r="C501" s="1">
        <v>40057</v>
      </c>
      <c r="D501" t="s">
        <v>94</v>
      </c>
      <c r="E501" t="s">
        <v>24</v>
      </c>
      <c r="F501" t="s">
        <v>74</v>
      </c>
      <c r="G501" t="s">
        <v>39</v>
      </c>
      <c r="H501" t="s">
        <v>215</v>
      </c>
      <c r="I501" t="s">
        <v>216</v>
      </c>
      <c r="J501" t="s">
        <v>217</v>
      </c>
      <c r="K501" s="2">
        <v>46</v>
      </c>
      <c r="L501">
        <v>30</v>
      </c>
      <c r="M501">
        <f t="shared" si="7"/>
        <v>1380</v>
      </c>
    </row>
    <row r="502" spans="1:13">
      <c r="A502" t="s">
        <v>213</v>
      </c>
      <c r="B502" t="s">
        <v>214</v>
      </c>
      <c r="C502" s="1">
        <v>39545</v>
      </c>
      <c r="D502" t="s">
        <v>30</v>
      </c>
      <c r="E502" t="s">
        <v>15</v>
      </c>
      <c r="F502" t="s">
        <v>31</v>
      </c>
      <c r="G502" t="s">
        <v>39</v>
      </c>
      <c r="H502" t="s">
        <v>215</v>
      </c>
      <c r="I502" t="s">
        <v>216</v>
      </c>
      <c r="J502" t="s">
        <v>217</v>
      </c>
      <c r="K502" s="2">
        <v>31.23</v>
      </c>
      <c r="L502">
        <v>6</v>
      </c>
      <c r="M502">
        <f t="shared" si="7"/>
        <v>187.38</v>
      </c>
    </row>
    <row r="503" spans="1:13">
      <c r="A503" t="s">
        <v>213</v>
      </c>
      <c r="B503" t="s">
        <v>214</v>
      </c>
      <c r="C503" s="1">
        <v>39940</v>
      </c>
      <c r="D503" t="s">
        <v>43</v>
      </c>
      <c r="E503" t="s">
        <v>66</v>
      </c>
      <c r="F503" t="s">
        <v>41</v>
      </c>
      <c r="G503" t="s">
        <v>17</v>
      </c>
      <c r="H503" t="s">
        <v>215</v>
      </c>
      <c r="I503" t="s">
        <v>216</v>
      </c>
      <c r="J503" t="s">
        <v>217</v>
      </c>
      <c r="K503" s="2">
        <v>36</v>
      </c>
      <c r="L503">
        <v>10</v>
      </c>
      <c r="M503">
        <f t="shared" si="7"/>
        <v>360</v>
      </c>
    </row>
    <row r="504" spans="1:13">
      <c r="A504" t="s">
        <v>213</v>
      </c>
      <c r="B504" t="s">
        <v>214</v>
      </c>
      <c r="C504" s="1">
        <v>39545</v>
      </c>
      <c r="D504" t="s">
        <v>96</v>
      </c>
      <c r="E504" t="s">
        <v>15</v>
      </c>
      <c r="F504" t="s">
        <v>97</v>
      </c>
      <c r="G504" t="s">
        <v>39</v>
      </c>
      <c r="H504" t="s">
        <v>215</v>
      </c>
      <c r="I504" t="s">
        <v>216</v>
      </c>
      <c r="J504" t="s">
        <v>217</v>
      </c>
      <c r="K504" s="2">
        <v>18</v>
      </c>
      <c r="L504">
        <v>6</v>
      </c>
      <c r="M504">
        <f t="shared" si="7"/>
        <v>108</v>
      </c>
    </row>
    <row r="505" spans="1:13">
      <c r="A505" t="s">
        <v>213</v>
      </c>
      <c r="B505" t="s">
        <v>214</v>
      </c>
      <c r="C505" s="1">
        <v>39940</v>
      </c>
      <c r="D505" t="s">
        <v>82</v>
      </c>
      <c r="E505" t="s">
        <v>66</v>
      </c>
      <c r="F505" t="s">
        <v>35</v>
      </c>
      <c r="G505" t="s">
        <v>17</v>
      </c>
      <c r="H505" t="s">
        <v>215</v>
      </c>
      <c r="I505" t="s">
        <v>216</v>
      </c>
      <c r="J505" t="s">
        <v>217</v>
      </c>
      <c r="K505" s="2">
        <v>12.5</v>
      </c>
      <c r="L505">
        <v>20</v>
      </c>
      <c r="M505">
        <f t="shared" si="7"/>
        <v>250</v>
      </c>
    </row>
    <row r="506" spans="1:13">
      <c r="A506" t="s">
        <v>213</v>
      </c>
      <c r="B506" t="s">
        <v>214</v>
      </c>
      <c r="C506" s="1">
        <v>40057</v>
      </c>
      <c r="D506" t="s">
        <v>122</v>
      </c>
      <c r="E506" t="s">
        <v>24</v>
      </c>
      <c r="F506" t="s">
        <v>31</v>
      </c>
      <c r="G506" t="s">
        <v>39</v>
      </c>
      <c r="H506" t="s">
        <v>215</v>
      </c>
      <c r="I506" t="s">
        <v>216</v>
      </c>
      <c r="J506" t="s">
        <v>217</v>
      </c>
      <c r="K506" s="2">
        <v>14</v>
      </c>
      <c r="L506">
        <v>12</v>
      </c>
      <c r="M506">
        <f t="shared" si="7"/>
        <v>168</v>
      </c>
    </row>
    <row r="507" spans="1:13">
      <c r="A507" t="s">
        <v>213</v>
      </c>
      <c r="B507" t="s">
        <v>214</v>
      </c>
      <c r="C507" s="1">
        <v>39533</v>
      </c>
      <c r="D507" t="s">
        <v>185</v>
      </c>
      <c r="E507" t="s">
        <v>103</v>
      </c>
      <c r="F507" t="s">
        <v>134</v>
      </c>
      <c r="G507" t="s">
        <v>39</v>
      </c>
      <c r="H507" t="s">
        <v>215</v>
      </c>
      <c r="I507" t="s">
        <v>216</v>
      </c>
      <c r="J507" t="s">
        <v>217</v>
      </c>
      <c r="K507" s="2">
        <v>18.399999999999999</v>
      </c>
      <c r="L507">
        <v>10</v>
      </c>
      <c r="M507">
        <f t="shared" si="7"/>
        <v>184</v>
      </c>
    </row>
    <row r="508" spans="1:13">
      <c r="A508" t="s">
        <v>213</v>
      </c>
      <c r="B508" t="s">
        <v>214</v>
      </c>
      <c r="C508" s="1">
        <v>40053</v>
      </c>
      <c r="D508" t="s">
        <v>77</v>
      </c>
      <c r="E508" t="s">
        <v>66</v>
      </c>
      <c r="F508" t="s">
        <v>51</v>
      </c>
      <c r="G508" t="s">
        <v>17</v>
      </c>
      <c r="H508" t="s">
        <v>215</v>
      </c>
      <c r="I508" t="s">
        <v>216</v>
      </c>
      <c r="J508" t="s">
        <v>217</v>
      </c>
      <c r="K508" s="2">
        <v>45.6</v>
      </c>
      <c r="L508">
        <v>20</v>
      </c>
      <c r="M508">
        <f t="shared" si="7"/>
        <v>912</v>
      </c>
    </row>
    <row r="509" spans="1:13">
      <c r="A509" t="s">
        <v>213</v>
      </c>
      <c r="B509" t="s">
        <v>214</v>
      </c>
      <c r="C509" s="1">
        <v>40053</v>
      </c>
      <c r="D509" t="s">
        <v>75</v>
      </c>
      <c r="E509" t="s">
        <v>66</v>
      </c>
      <c r="F509" t="s">
        <v>76</v>
      </c>
      <c r="G509" t="s">
        <v>17</v>
      </c>
      <c r="H509" t="s">
        <v>215</v>
      </c>
      <c r="I509" t="s">
        <v>216</v>
      </c>
      <c r="J509" t="s">
        <v>217</v>
      </c>
      <c r="K509" s="2">
        <v>34.799999999999997</v>
      </c>
      <c r="L509">
        <v>15</v>
      </c>
      <c r="M509">
        <f t="shared" si="7"/>
        <v>522</v>
      </c>
    </row>
    <row r="510" spans="1:13">
      <c r="A510" t="s">
        <v>213</v>
      </c>
      <c r="B510" t="s">
        <v>214</v>
      </c>
      <c r="C510" s="1">
        <v>39497</v>
      </c>
      <c r="D510" t="s">
        <v>60</v>
      </c>
      <c r="E510" t="s">
        <v>50</v>
      </c>
      <c r="F510" t="s">
        <v>61</v>
      </c>
      <c r="G510" t="s">
        <v>39</v>
      </c>
      <c r="H510" t="s">
        <v>215</v>
      </c>
      <c r="I510" t="s">
        <v>216</v>
      </c>
      <c r="J510" t="s">
        <v>217</v>
      </c>
      <c r="K510" s="2">
        <v>9.5</v>
      </c>
      <c r="L510">
        <v>15</v>
      </c>
      <c r="M510">
        <f t="shared" si="7"/>
        <v>142.5</v>
      </c>
    </row>
    <row r="511" spans="1:13">
      <c r="A511" t="s">
        <v>213</v>
      </c>
      <c r="B511" t="s">
        <v>214</v>
      </c>
      <c r="C511" s="1">
        <v>39495</v>
      </c>
      <c r="D511" t="s">
        <v>52</v>
      </c>
      <c r="E511" t="s">
        <v>24</v>
      </c>
      <c r="F511" t="s">
        <v>54</v>
      </c>
      <c r="G511" t="s">
        <v>39</v>
      </c>
      <c r="H511" t="s">
        <v>215</v>
      </c>
      <c r="I511" t="s">
        <v>216</v>
      </c>
      <c r="J511" t="s">
        <v>217</v>
      </c>
      <c r="K511" s="2">
        <v>55</v>
      </c>
      <c r="L511">
        <v>40</v>
      </c>
      <c r="M511">
        <f t="shared" si="7"/>
        <v>2200</v>
      </c>
    </row>
    <row r="512" spans="1:13">
      <c r="A512" t="s">
        <v>213</v>
      </c>
      <c r="B512" t="s">
        <v>214</v>
      </c>
      <c r="C512" s="1">
        <v>39497</v>
      </c>
      <c r="D512" t="s">
        <v>62</v>
      </c>
      <c r="E512" t="s">
        <v>50</v>
      </c>
      <c r="F512" t="s">
        <v>63</v>
      </c>
      <c r="G512" t="s">
        <v>39</v>
      </c>
      <c r="H512" t="s">
        <v>215</v>
      </c>
      <c r="I512" t="s">
        <v>216</v>
      </c>
      <c r="J512" t="s">
        <v>217</v>
      </c>
      <c r="K512" s="2">
        <v>38</v>
      </c>
      <c r="L512">
        <v>16</v>
      </c>
      <c r="M512">
        <f t="shared" si="7"/>
        <v>608</v>
      </c>
    </row>
    <row r="513" spans="1:13">
      <c r="A513" t="s">
        <v>213</v>
      </c>
      <c r="B513" t="s">
        <v>214</v>
      </c>
      <c r="C513" s="1">
        <v>39533</v>
      </c>
      <c r="D513" t="s">
        <v>23</v>
      </c>
      <c r="E513" t="s">
        <v>103</v>
      </c>
      <c r="F513" t="s">
        <v>25</v>
      </c>
      <c r="G513" t="s">
        <v>39</v>
      </c>
      <c r="H513" t="s">
        <v>215</v>
      </c>
      <c r="I513" t="s">
        <v>216</v>
      </c>
      <c r="J513" t="s">
        <v>217</v>
      </c>
      <c r="K513" s="2">
        <v>40</v>
      </c>
      <c r="L513">
        <v>20</v>
      </c>
      <c r="M513">
        <f t="shared" si="7"/>
        <v>800</v>
      </c>
    </row>
    <row r="514" spans="1:13">
      <c r="A514" t="s">
        <v>213</v>
      </c>
      <c r="B514" t="s">
        <v>214</v>
      </c>
      <c r="C514" s="1">
        <v>39533</v>
      </c>
      <c r="D514" t="s">
        <v>34</v>
      </c>
      <c r="E514" t="s">
        <v>103</v>
      </c>
      <c r="F514" t="s">
        <v>35</v>
      </c>
      <c r="G514" t="s">
        <v>39</v>
      </c>
      <c r="H514" t="s">
        <v>215</v>
      </c>
      <c r="I514" t="s">
        <v>216</v>
      </c>
      <c r="J514" t="s">
        <v>217</v>
      </c>
      <c r="K514" s="2">
        <v>10</v>
      </c>
      <c r="L514">
        <v>40</v>
      </c>
      <c r="M514">
        <f t="shared" si="7"/>
        <v>400</v>
      </c>
    </row>
    <row r="515" spans="1:13">
      <c r="A515" t="s">
        <v>213</v>
      </c>
      <c r="B515" t="s">
        <v>214</v>
      </c>
      <c r="C515" s="1">
        <v>39533</v>
      </c>
      <c r="D515" t="s">
        <v>73</v>
      </c>
      <c r="E515" t="s">
        <v>103</v>
      </c>
      <c r="F515" t="s">
        <v>74</v>
      </c>
      <c r="G515" t="s">
        <v>39</v>
      </c>
      <c r="H515" t="s">
        <v>215</v>
      </c>
      <c r="I515" t="s">
        <v>216</v>
      </c>
      <c r="J515" t="s">
        <v>217</v>
      </c>
      <c r="K515" s="2">
        <v>19.45</v>
      </c>
      <c r="L515">
        <v>6</v>
      </c>
      <c r="M515">
        <f t="shared" ref="M515:M578" si="8">K515*L515</f>
        <v>116.69999999999999</v>
      </c>
    </row>
    <row r="516" spans="1:13">
      <c r="A516" t="s">
        <v>218</v>
      </c>
      <c r="B516" t="s">
        <v>219</v>
      </c>
      <c r="C516" s="1">
        <v>39567</v>
      </c>
      <c r="D516" t="s">
        <v>86</v>
      </c>
      <c r="E516" t="s">
        <v>103</v>
      </c>
      <c r="F516" t="s">
        <v>54</v>
      </c>
      <c r="G516" t="s">
        <v>39</v>
      </c>
      <c r="H516" t="s">
        <v>141</v>
      </c>
      <c r="J516" t="s">
        <v>220</v>
      </c>
      <c r="K516" s="2">
        <v>34</v>
      </c>
      <c r="L516">
        <v>21</v>
      </c>
      <c r="M516">
        <f t="shared" si="8"/>
        <v>714</v>
      </c>
    </row>
    <row r="517" spans="1:13">
      <c r="A517" t="s">
        <v>218</v>
      </c>
      <c r="B517" t="s">
        <v>219</v>
      </c>
      <c r="C517" s="1">
        <v>39524</v>
      </c>
      <c r="D517" t="s">
        <v>85</v>
      </c>
      <c r="E517" t="s">
        <v>89</v>
      </c>
      <c r="F517" t="s">
        <v>33</v>
      </c>
      <c r="G517" t="s">
        <v>39</v>
      </c>
      <c r="H517" t="s">
        <v>141</v>
      </c>
      <c r="J517" t="s">
        <v>220</v>
      </c>
      <c r="K517" s="2">
        <v>53</v>
      </c>
      <c r="L517">
        <v>8</v>
      </c>
      <c r="M517">
        <f t="shared" si="8"/>
        <v>424</v>
      </c>
    </row>
    <row r="518" spans="1:13">
      <c r="A518" t="s">
        <v>218</v>
      </c>
      <c r="B518" t="s">
        <v>219</v>
      </c>
      <c r="C518" s="1">
        <v>39567</v>
      </c>
      <c r="D518" t="s">
        <v>34</v>
      </c>
      <c r="E518" t="s">
        <v>103</v>
      </c>
      <c r="F518" t="s">
        <v>35</v>
      </c>
      <c r="G518" t="s">
        <v>39</v>
      </c>
      <c r="H518" t="s">
        <v>141</v>
      </c>
      <c r="J518" t="s">
        <v>220</v>
      </c>
      <c r="K518" s="2">
        <v>10</v>
      </c>
      <c r="L518">
        <v>3</v>
      </c>
      <c r="M518">
        <f t="shared" si="8"/>
        <v>30</v>
      </c>
    </row>
    <row r="519" spans="1:13">
      <c r="A519" t="s">
        <v>218</v>
      </c>
      <c r="B519" t="s">
        <v>219</v>
      </c>
      <c r="C519" s="1">
        <v>39524</v>
      </c>
      <c r="D519" t="s">
        <v>170</v>
      </c>
      <c r="E519" t="s">
        <v>89</v>
      </c>
      <c r="F519" t="s">
        <v>101</v>
      </c>
      <c r="G519" t="s">
        <v>39</v>
      </c>
      <c r="H519" t="s">
        <v>141</v>
      </c>
      <c r="J519" t="s">
        <v>220</v>
      </c>
      <c r="K519" s="2">
        <v>9.5</v>
      </c>
      <c r="L519">
        <v>14</v>
      </c>
      <c r="M519">
        <f t="shared" si="8"/>
        <v>133</v>
      </c>
    </row>
    <row r="520" spans="1:13">
      <c r="A520" t="s">
        <v>218</v>
      </c>
      <c r="B520" t="s">
        <v>219</v>
      </c>
      <c r="C520" s="1">
        <v>39524</v>
      </c>
      <c r="D520" t="s">
        <v>34</v>
      </c>
      <c r="E520" t="s">
        <v>89</v>
      </c>
      <c r="F520" t="s">
        <v>35</v>
      </c>
      <c r="G520" t="s">
        <v>39</v>
      </c>
      <c r="H520" t="s">
        <v>141</v>
      </c>
      <c r="J520" t="s">
        <v>220</v>
      </c>
      <c r="K520" s="2">
        <v>10</v>
      </c>
      <c r="L520">
        <v>12</v>
      </c>
      <c r="M520">
        <f t="shared" si="8"/>
        <v>120</v>
      </c>
    </row>
    <row r="521" spans="1:13">
      <c r="A521" t="s">
        <v>218</v>
      </c>
      <c r="B521" t="s">
        <v>219</v>
      </c>
      <c r="C521" s="1">
        <v>39474</v>
      </c>
      <c r="D521" t="s">
        <v>42</v>
      </c>
      <c r="E521" t="s">
        <v>103</v>
      </c>
      <c r="F521" t="s">
        <v>22</v>
      </c>
      <c r="G521" t="s">
        <v>39</v>
      </c>
      <c r="H521" t="s">
        <v>141</v>
      </c>
      <c r="J521" t="s">
        <v>220</v>
      </c>
      <c r="K521" s="2">
        <v>62.5</v>
      </c>
      <c r="L521">
        <v>10</v>
      </c>
      <c r="M521">
        <f t="shared" si="8"/>
        <v>625</v>
      </c>
    </row>
    <row r="522" spans="1:13">
      <c r="A522" t="s">
        <v>218</v>
      </c>
      <c r="B522" t="s">
        <v>219</v>
      </c>
      <c r="C522" s="1">
        <v>40023</v>
      </c>
      <c r="D522" t="s">
        <v>109</v>
      </c>
      <c r="E522" t="s">
        <v>67</v>
      </c>
      <c r="F522" t="s">
        <v>56</v>
      </c>
      <c r="G522" t="s">
        <v>17</v>
      </c>
      <c r="H522" t="s">
        <v>141</v>
      </c>
      <c r="J522" t="s">
        <v>220</v>
      </c>
      <c r="K522" s="2">
        <v>18</v>
      </c>
      <c r="L522">
        <v>5</v>
      </c>
      <c r="M522">
        <f t="shared" si="8"/>
        <v>90</v>
      </c>
    </row>
    <row r="523" spans="1:13">
      <c r="A523" t="s">
        <v>218</v>
      </c>
      <c r="B523" t="s">
        <v>219</v>
      </c>
      <c r="C523" s="1">
        <v>39567</v>
      </c>
      <c r="D523" t="s">
        <v>28</v>
      </c>
      <c r="E523" t="s">
        <v>103</v>
      </c>
      <c r="F523" t="s">
        <v>29</v>
      </c>
      <c r="G523" t="s">
        <v>39</v>
      </c>
      <c r="H523" t="s">
        <v>141</v>
      </c>
      <c r="J523" t="s">
        <v>220</v>
      </c>
      <c r="K523" s="2">
        <v>28.5</v>
      </c>
      <c r="L523">
        <v>4</v>
      </c>
      <c r="M523">
        <f t="shared" si="8"/>
        <v>114</v>
      </c>
    </row>
    <row r="524" spans="1:13">
      <c r="A524" t="s">
        <v>218</v>
      </c>
      <c r="B524" t="s">
        <v>219</v>
      </c>
      <c r="C524" s="1">
        <v>40023</v>
      </c>
      <c r="D524" t="s">
        <v>34</v>
      </c>
      <c r="E524" t="s">
        <v>67</v>
      </c>
      <c r="F524" t="s">
        <v>35</v>
      </c>
      <c r="G524" t="s">
        <v>17</v>
      </c>
      <c r="H524" t="s">
        <v>141</v>
      </c>
      <c r="J524" t="s">
        <v>220</v>
      </c>
      <c r="K524" s="2">
        <v>10</v>
      </c>
      <c r="L524">
        <v>8</v>
      </c>
      <c r="M524">
        <f t="shared" si="8"/>
        <v>80</v>
      </c>
    </row>
    <row r="525" spans="1:13">
      <c r="A525" t="s">
        <v>218</v>
      </c>
      <c r="B525" t="s">
        <v>219</v>
      </c>
      <c r="C525" s="1">
        <v>39920</v>
      </c>
      <c r="D525" t="s">
        <v>77</v>
      </c>
      <c r="E525" t="s">
        <v>24</v>
      </c>
      <c r="F525" t="s">
        <v>51</v>
      </c>
      <c r="G525" t="s">
        <v>17</v>
      </c>
      <c r="H525" t="s">
        <v>141</v>
      </c>
      <c r="J525" t="s">
        <v>220</v>
      </c>
      <c r="K525" s="2">
        <v>45.6</v>
      </c>
      <c r="L525">
        <v>3</v>
      </c>
      <c r="M525">
        <f t="shared" si="8"/>
        <v>136.80000000000001</v>
      </c>
    </row>
    <row r="526" spans="1:13">
      <c r="A526" t="s">
        <v>218</v>
      </c>
      <c r="B526" t="s">
        <v>219</v>
      </c>
      <c r="C526" s="1">
        <v>39991</v>
      </c>
      <c r="D526" t="s">
        <v>123</v>
      </c>
      <c r="E526" t="s">
        <v>15</v>
      </c>
      <c r="F526" t="s">
        <v>63</v>
      </c>
      <c r="G526" t="s">
        <v>17</v>
      </c>
      <c r="H526" t="s">
        <v>141</v>
      </c>
      <c r="J526" t="s">
        <v>220</v>
      </c>
      <c r="K526" s="2">
        <v>19.5</v>
      </c>
      <c r="L526">
        <v>4</v>
      </c>
      <c r="M526">
        <f t="shared" si="8"/>
        <v>78</v>
      </c>
    </row>
    <row r="527" spans="1:13">
      <c r="A527" t="s">
        <v>218</v>
      </c>
      <c r="B527" t="s">
        <v>219</v>
      </c>
      <c r="C527" s="1">
        <v>39991</v>
      </c>
      <c r="D527" t="s">
        <v>96</v>
      </c>
      <c r="E527" t="s">
        <v>15</v>
      </c>
      <c r="F527" t="s">
        <v>97</v>
      </c>
      <c r="G527" t="s">
        <v>17</v>
      </c>
      <c r="H527" t="s">
        <v>141</v>
      </c>
      <c r="J527" t="s">
        <v>220</v>
      </c>
      <c r="K527" s="2">
        <v>18</v>
      </c>
      <c r="L527">
        <v>14</v>
      </c>
      <c r="M527">
        <f t="shared" si="8"/>
        <v>252</v>
      </c>
    </row>
    <row r="528" spans="1:13">
      <c r="A528" t="s">
        <v>218</v>
      </c>
      <c r="B528" t="s">
        <v>219</v>
      </c>
      <c r="C528" s="1">
        <v>39912</v>
      </c>
      <c r="D528" t="s">
        <v>14</v>
      </c>
      <c r="E528" t="s">
        <v>103</v>
      </c>
      <c r="F528" t="s">
        <v>16</v>
      </c>
      <c r="G528" t="s">
        <v>17</v>
      </c>
      <c r="H528" t="s">
        <v>141</v>
      </c>
      <c r="J528" t="s">
        <v>220</v>
      </c>
      <c r="K528" s="2">
        <v>7.45</v>
      </c>
      <c r="L528">
        <v>20</v>
      </c>
      <c r="M528">
        <f t="shared" si="8"/>
        <v>149</v>
      </c>
    </row>
    <row r="529" spans="1:13">
      <c r="A529" t="s">
        <v>218</v>
      </c>
      <c r="B529" t="s">
        <v>219</v>
      </c>
      <c r="C529" s="1">
        <v>40023</v>
      </c>
      <c r="D529" t="s">
        <v>131</v>
      </c>
      <c r="E529" t="s">
        <v>67</v>
      </c>
      <c r="F529" t="s">
        <v>132</v>
      </c>
      <c r="G529" t="s">
        <v>17</v>
      </c>
      <c r="H529" t="s">
        <v>141</v>
      </c>
      <c r="J529" t="s">
        <v>220</v>
      </c>
      <c r="K529" s="2">
        <v>21</v>
      </c>
      <c r="L529">
        <v>14</v>
      </c>
      <c r="M529">
        <f t="shared" si="8"/>
        <v>294</v>
      </c>
    </row>
    <row r="530" spans="1:13">
      <c r="A530" t="s">
        <v>221</v>
      </c>
      <c r="B530" t="s">
        <v>222</v>
      </c>
      <c r="C530" s="1">
        <v>39560</v>
      </c>
      <c r="D530" t="s">
        <v>28</v>
      </c>
      <c r="E530" t="s">
        <v>53</v>
      </c>
      <c r="F530" t="s">
        <v>29</v>
      </c>
      <c r="G530" t="s">
        <v>39</v>
      </c>
      <c r="H530" t="s">
        <v>106</v>
      </c>
      <c r="I530" t="s">
        <v>190</v>
      </c>
      <c r="J530" t="s">
        <v>223</v>
      </c>
      <c r="K530" s="2">
        <v>28.5</v>
      </c>
      <c r="L530">
        <v>4</v>
      </c>
      <c r="M530">
        <f t="shared" si="8"/>
        <v>114</v>
      </c>
    </row>
    <row r="531" spans="1:13">
      <c r="A531" t="s">
        <v>221</v>
      </c>
      <c r="B531" t="s">
        <v>222</v>
      </c>
      <c r="C531" s="1">
        <v>39560</v>
      </c>
      <c r="D531" t="s">
        <v>73</v>
      </c>
      <c r="E531" t="s">
        <v>53</v>
      </c>
      <c r="F531" t="s">
        <v>74</v>
      </c>
      <c r="G531" t="s">
        <v>39</v>
      </c>
      <c r="H531" t="s">
        <v>106</v>
      </c>
      <c r="I531" t="s">
        <v>190</v>
      </c>
      <c r="J531" t="s">
        <v>223</v>
      </c>
      <c r="K531" s="2">
        <v>19.45</v>
      </c>
      <c r="L531">
        <v>15</v>
      </c>
      <c r="M531">
        <f t="shared" si="8"/>
        <v>291.75</v>
      </c>
    </row>
    <row r="532" spans="1:13">
      <c r="A532" t="s">
        <v>221</v>
      </c>
      <c r="B532" t="s">
        <v>222</v>
      </c>
      <c r="C532" s="1">
        <v>39687</v>
      </c>
      <c r="D532" t="s">
        <v>88</v>
      </c>
      <c r="E532" t="s">
        <v>67</v>
      </c>
      <c r="F532" t="s">
        <v>51</v>
      </c>
      <c r="G532" t="s">
        <v>17</v>
      </c>
      <c r="H532" t="s">
        <v>106</v>
      </c>
      <c r="I532" t="s">
        <v>190</v>
      </c>
      <c r="J532" t="s">
        <v>223</v>
      </c>
      <c r="K532" s="2">
        <v>99</v>
      </c>
      <c r="L532">
        <v>15</v>
      </c>
      <c r="M532">
        <f t="shared" si="8"/>
        <v>1485</v>
      </c>
    </row>
    <row r="533" spans="1:13">
      <c r="A533" t="s">
        <v>221</v>
      </c>
      <c r="B533" t="s">
        <v>222</v>
      </c>
      <c r="C533" s="1">
        <v>39878</v>
      </c>
      <c r="D533" t="s">
        <v>70</v>
      </c>
      <c r="E533" t="s">
        <v>24</v>
      </c>
      <c r="F533" t="s">
        <v>61</v>
      </c>
      <c r="G533" t="s">
        <v>17</v>
      </c>
      <c r="H533" t="s">
        <v>106</v>
      </c>
      <c r="I533" t="s">
        <v>190</v>
      </c>
      <c r="J533" t="s">
        <v>223</v>
      </c>
      <c r="K533" s="2">
        <v>9.6</v>
      </c>
      <c r="L533">
        <v>5</v>
      </c>
      <c r="M533">
        <f t="shared" si="8"/>
        <v>48</v>
      </c>
    </row>
    <row r="534" spans="1:13">
      <c r="A534" t="s">
        <v>221</v>
      </c>
      <c r="B534" t="s">
        <v>222</v>
      </c>
      <c r="C534" s="1">
        <v>39878</v>
      </c>
      <c r="D534" t="s">
        <v>131</v>
      </c>
      <c r="E534" t="s">
        <v>24</v>
      </c>
      <c r="F534" t="s">
        <v>132</v>
      </c>
      <c r="G534" t="s">
        <v>17</v>
      </c>
      <c r="H534" t="s">
        <v>106</v>
      </c>
      <c r="I534" t="s">
        <v>190</v>
      </c>
      <c r="J534" t="s">
        <v>223</v>
      </c>
      <c r="K534" s="2">
        <v>16.8</v>
      </c>
      <c r="L534">
        <v>10</v>
      </c>
      <c r="M534">
        <f t="shared" si="8"/>
        <v>168</v>
      </c>
    </row>
    <row r="535" spans="1:13">
      <c r="A535" t="s">
        <v>221</v>
      </c>
      <c r="B535" t="s">
        <v>222</v>
      </c>
      <c r="C535" s="1">
        <v>39687</v>
      </c>
      <c r="D535" t="s">
        <v>119</v>
      </c>
      <c r="E535" t="s">
        <v>67</v>
      </c>
      <c r="F535" t="s">
        <v>97</v>
      </c>
      <c r="G535" t="s">
        <v>17</v>
      </c>
      <c r="H535" t="s">
        <v>106</v>
      </c>
      <c r="I535" t="s">
        <v>190</v>
      </c>
      <c r="J535" t="s">
        <v>223</v>
      </c>
      <c r="K535" s="2">
        <v>16</v>
      </c>
      <c r="L535">
        <v>15</v>
      </c>
      <c r="M535">
        <f t="shared" si="8"/>
        <v>240</v>
      </c>
    </row>
    <row r="536" spans="1:13">
      <c r="A536" t="s">
        <v>221</v>
      </c>
      <c r="B536" t="s">
        <v>222</v>
      </c>
      <c r="C536" s="1">
        <v>39687</v>
      </c>
      <c r="D536" t="s">
        <v>49</v>
      </c>
      <c r="E536" t="s">
        <v>67</v>
      </c>
      <c r="F536" t="s">
        <v>51</v>
      </c>
      <c r="G536" t="s">
        <v>17</v>
      </c>
      <c r="H536" t="s">
        <v>106</v>
      </c>
      <c r="I536" t="s">
        <v>190</v>
      </c>
      <c r="J536" t="s">
        <v>223</v>
      </c>
      <c r="K536" s="2">
        <v>10.4</v>
      </c>
      <c r="L536">
        <v>10</v>
      </c>
      <c r="M536">
        <f t="shared" si="8"/>
        <v>104</v>
      </c>
    </row>
    <row r="537" spans="1:13">
      <c r="A537" t="s">
        <v>221</v>
      </c>
      <c r="B537" t="s">
        <v>222</v>
      </c>
      <c r="C537" s="1">
        <v>39905</v>
      </c>
      <c r="D537" t="s">
        <v>62</v>
      </c>
      <c r="E537" t="s">
        <v>24</v>
      </c>
      <c r="F537" t="s">
        <v>63</v>
      </c>
      <c r="G537" t="s">
        <v>17</v>
      </c>
      <c r="H537" t="s">
        <v>106</v>
      </c>
      <c r="I537" t="s">
        <v>190</v>
      </c>
      <c r="J537" t="s">
        <v>223</v>
      </c>
      <c r="K537" s="2">
        <v>30.4</v>
      </c>
      <c r="L537">
        <v>30</v>
      </c>
      <c r="M537">
        <f t="shared" si="8"/>
        <v>912</v>
      </c>
    </row>
    <row r="538" spans="1:13">
      <c r="A538" t="s">
        <v>221</v>
      </c>
      <c r="B538" t="s">
        <v>222</v>
      </c>
      <c r="C538" s="1">
        <v>39530</v>
      </c>
      <c r="D538" t="s">
        <v>70</v>
      </c>
      <c r="E538" t="s">
        <v>21</v>
      </c>
      <c r="F538" t="s">
        <v>61</v>
      </c>
      <c r="G538" t="s">
        <v>39</v>
      </c>
      <c r="H538" t="s">
        <v>106</v>
      </c>
      <c r="I538" t="s">
        <v>190</v>
      </c>
      <c r="J538" t="s">
        <v>223</v>
      </c>
      <c r="K538" s="2">
        <v>12</v>
      </c>
      <c r="L538">
        <v>9</v>
      </c>
      <c r="M538">
        <f t="shared" si="8"/>
        <v>108</v>
      </c>
    </row>
    <row r="539" spans="1:13">
      <c r="A539" t="s">
        <v>221</v>
      </c>
      <c r="B539" t="s">
        <v>222</v>
      </c>
      <c r="C539" s="1">
        <v>39687</v>
      </c>
      <c r="D539" t="s">
        <v>149</v>
      </c>
      <c r="E539" t="s">
        <v>67</v>
      </c>
      <c r="F539" t="s">
        <v>27</v>
      </c>
      <c r="G539" t="s">
        <v>17</v>
      </c>
      <c r="H539" t="s">
        <v>106</v>
      </c>
      <c r="I539" t="s">
        <v>190</v>
      </c>
      <c r="J539" t="s">
        <v>223</v>
      </c>
      <c r="K539" s="2">
        <v>17</v>
      </c>
      <c r="L539">
        <v>20</v>
      </c>
      <c r="M539">
        <f t="shared" si="8"/>
        <v>340</v>
      </c>
    </row>
    <row r="540" spans="1:13">
      <c r="A540" t="s">
        <v>224</v>
      </c>
      <c r="B540" t="s">
        <v>225</v>
      </c>
      <c r="C540" s="1">
        <v>39854</v>
      </c>
      <c r="D540" t="s">
        <v>150</v>
      </c>
      <c r="E540" t="s">
        <v>15</v>
      </c>
      <c r="F540" t="s">
        <v>31</v>
      </c>
      <c r="G540" t="s">
        <v>17</v>
      </c>
      <c r="H540" t="s">
        <v>141</v>
      </c>
      <c r="J540" t="s">
        <v>226</v>
      </c>
      <c r="K540" s="2">
        <v>35.1</v>
      </c>
      <c r="L540">
        <v>50</v>
      </c>
      <c r="M540">
        <f t="shared" si="8"/>
        <v>1755</v>
      </c>
    </row>
    <row r="541" spans="1:13">
      <c r="A541" t="s">
        <v>224</v>
      </c>
      <c r="B541" t="s">
        <v>225</v>
      </c>
      <c r="C541" s="1">
        <v>40003</v>
      </c>
      <c r="D541" t="s">
        <v>68</v>
      </c>
      <c r="E541" t="s">
        <v>15</v>
      </c>
      <c r="F541" t="s">
        <v>69</v>
      </c>
      <c r="G541" t="s">
        <v>17</v>
      </c>
      <c r="H541" t="s">
        <v>141</v>
      </c>
      <c r="J541" t="s">
        <v>226</v>
      </c>
      <c r="K541" s="2">
        <v>13.25</v>
      </c>
      <c r="L541">
        <v>30</v>
      </c>
      <c r="M541">
        <f t="shared" si="8"/>
        <v>397.5</v>
      </c>
    </row>
    <row r="542" spans="1:13">
      <c r="A542" t="s">
        <v>224</v>
      </c>
      <c r="B542" t="s">
        <v>225</v>
      </c>
      <c r="C542" s="1">
        <v>39448</v>
      </c>
      <c r="D542" t="s">
        <v>96</v>
      </c>
      <c r="E542" t="s">
        <v>53</v>
      </c>
      <c r="F542" t="s">
        <v>97</v>
      </c>
      <c r="G542" t="s">
        <v>39</v>
      </c>
      <c r="H542" t="s">
        <v>141</v>
      </c>
      <c r="J542" t="s">
        <v>226</v>
      </c>
      <c r="K542" s="2">
        <v>18</v>
      </c>
      <c r="L542">
        <v>50</v>
      </c>
      <c r="M542">
        <f t="shared" si="8"/>
        <v>900</v>
      </c>
    </row>
    <row r="543" spans="1:13">
      <c r="A543" t="s">
        <v>224</v>
      </c>
      <c r="B543" t="s">
        <v>225</v>
      </c>
      <c r="C543" s="1">
        <v>39527</v>
      </c>
      <c r="D543" t="s">
        <v>85</v>
      </c>
      <c r="E543" t="s">
        <v>89</v>
      </c>
      <c r="F543" t="s">
        <v>33</v>
      </c>
      <c r="G543" t="s">
        <v>39</v>
      </c>
      <c r="H543" t="s">
        <v>141</v>
      </c>
      <c r="J543" t="s">
        <v>226</v>
      </c>
      <c r="K543" s="2">
        <v>53</v>
      </c>
      <c r="L543">
        <v>16</v>
      </c>
      <c r="M543">
        <f t="shared" si="8"/>
        <v>848</v>
      </c>
    </row>
    <row r="544" spans="1:13">
      <c r="A544" t="s">
        <v>224</v>
      </c>
      <c r="B544" t="s">
        <v>225</v>
      </c>
      <c r="C544" s="1">
        <v>40080</v>
      </c>
      <c r="D544" t="s">
        <v>137</v>
      </c>
      <c r="E544" t="s">
        <v>21</v>
      </c>
      <c r="F544" t="s">
        <v>76</v>
      </c>
      <c r="G544" t="s">
        <v>17</v>
      </c>
      <c r="H544" t="s">
        <v>141</v>
      </c>
      <c r="J544" t="s">
        <v>226</v>
      </c>
      <c r="K544" s="2">
        <v>12.5</v>
      </c>
      <c r="L544">
        <v>20</v>
      </c>
      <c r="M544">
        <f t="shared" si="8"/>
        <v>250</v>
      </c>
    </row>
    <row r="545" spans="1:13">
      <c r="A545" t="s">
        <v>224</v>
      </c>
      <c r="B545" t="s">
        <v>225</v>
      </c>
      <c r="C545" s="1">
        <v>40080</v>
      </c>
      <c r="D545" t="s">
        <v>110</v>
      </c>
      <c r="E545" t="s">
        <v>21</v>
      </c>
      <c r="F545" t="s">
        <v>74</v>
      </c>
      <c r="G545" t="s">
        <v>17</v>
      </c>
      <c r="H545" t="s">
        <v>141</v>
      </c>
      <c r="J545" t="s">
        <v>226</v>
      </c>
      <c r="K545" s="2">
        <v>14</v>
      </c>
      <c r="L545">
        <v>40</v>
      </c>
      <c r="M545">
        <f t="shared" si="8"/>
        <v>560</v>
      </c>
    </row>
    <row r="546" spans="1:13">
      <c r="A546" t="s">
        <v>224</v>
      </c>
      <c r="B546" t="s">
        <v>225</v>
      </c>
      <c r="C546" s="1">
        <v>39558</v>
      </c>
      <c r="D546" t="s">
        <v>28</v>
      </c>
      <c r="E546" t="s">
        <v>67</v>
      </c>
      <c r="F546" t="s">
        <v>29</v>
      </c>
      <c r="G546" t="s">
        <v>39</v>
      </c>
      <c r="H546" t="s">
        <v>141</v>
      </c>
      <c r="J546" t="s">
        <v>226</v>
      </c>
      <c r="K546" s="2">
        <v>28.5</v>
      </c>
      <c r="L546">
        <v>6</v>
      </c>
      <c r="M546">
        <f t="shared" si="8"/>
        <v>171</v>
      </c>
    </row>
    <row r="547" spans="1:13">
      <c r="A547" t="s">
        <v>224</v>
      </c>
      <c r="B547" t="s">
        <v>225</v>
      </c>
      <c r="C547" s="1">
        <v>40003</v>
      </c>
      <c r="D547" t="s">
        <v>120</v>
      </c>
      <c r="E547" t="s">
        <v>15</v>
      </c>
      <c r="F547" t="s">
        <v>33</v>
      </c>
      <c r="G547" t="s">
        <v>17</v>
      </c>
      <c r="H547" t="s">
        <v>141</v>
      </c>
      <c r="J547" t="s">
        <v>226</v>
      </c>
      <c r="K547" s="2">
        <v>7</v>
      </c>
      <c r="L547">
        <v>24</v>
      </c>
      <c r="M547">
        <f t="shared" si="8"/>
        <v>168</v>
      </c>
    </row>
    <row r="548" spans="1:13">
      <c r="A548" t="s">
        <v>224</v>
      </c>
      <c r="B548" t="s">
        <v>225</v>
      </c>
      <c r="C548" s="1">
        <v>39474</v>
      </c>
      <c r="D548" t="s">
        <v>20</v>
      </c>
      <c r="E548" t="s">
        <v>15</v>
      </c>
      <c r="F548" t="s">
        <v>22</v>
      </c>
      <c r="G548" t="s">
        <v>39</v>
      </c>
      <c r="H548" t="s">
        <v>141</v>
      </c>
      <c r="J548" t="s">
        <v>226</v>
      </c>
      <c r="K548" s="2">
        <v>17.45</v>
      </c>
      <c r="L548">
        <v>50</v>
      </c>
      <c r="M548">
        <f t="shared" si="8"/>
        <v>872.5</v>
      </c>
    </row>
    <row r="549" spans="1:13">
      <c r="A549" t="s">
        <v>224</v>
      </c>
      <c r="B549" t="s">
        <v>225</v>
      </c>
      <c r="C549" s="1">
        <v>39704</v>
      </c>
      <c r="D549" t="s">
        <v>109</v>
      </c>
      <c r="E549" t="s">
        <v>67</v>
      </c>
      <c r="F549" t="s">
        <v>56</v>
      </c>
      <c r="G549" t="s">
        <v>17</v>
      </c>
      <c r="H549" t="s">
        <v>141</v>
      </c>
      <c r="J549" t="s">
        <v>226</v>
      </c>
      <c r="K549" s="2">
        <v>14.4</v>
      </c>
      <c r="L549">
        <v>30</v>
      </c>
      <c r="M549">
        <f t="shared" si="8"/>
        <v>432</v>
      </c>
    </row>
    <row r="550" spans="1:13">
      <c r="A550" t="s">
        <v>224</v>
      </c>
      <c r="B550" t="s">
        <v>225</v>
      </c>
      <c r="C550" s="1">
        <v>39704</v>
      </c>
      <c r="D550" t="s">
        <v>88</v>
      </c>
      <c r="E550" t="s">
        <v>67</v>
      </c>
      <c r="F550" t="s">
        <v>51</v>
      </c>
      <c r="G550" t="s">
        <v>17</v>
      </c>
      <c r="H550" t="s">
        <v>141</v>
      </c>
      <c r="J550" t="s">
        <v>226</v>
      </c>
      <c r="K550" s="2">
        <v>99</v>
      </c>
      <c r="L550">
        <v>25</v>
      </c>
      <c r="M550">
        <f t="shared" si="8"/>
        <v>2475</v>
      </c>
    </row>
    <row r="551" spans="1:13">
      <c r="A551" t="s">
        <v>224</v>
      </c>
      <c r="B551" t="s">
        <v>225</v>
      </c>
      <c r="C551" s="1">
        <v>39704</v>
      </c>
      <c r="D551" t="s">
        <v>42</v>
      </c>
      <c r="E551" t="s">
        <v>67</v>
      </c>
      <c r="F551" t="s">
        <v>22</v>
      </c>
      <c r="G551" t="s">
        <v>17</v>
      </c>
      <c r="H551" t="s">
        <v>141</v>
      </c>
      <c r="J551" t="s">
        <v>226</v>
      </c>
      <c r="K551" s="2">
        <v>50</v>
      </c>
      <c r="L551">
        <v>25</v>
      </c>
      <c r="M551">
        <f t="shared" si="8"/>
        <v>1250</v>
      </c>
    </row>
    <row r="552" spans="1:13">
      <c r="A552" t="s">
        <v>224</v>
      </c>
      <c r="B552" t="s">
        <v>225</v>
      </c>
      <c r="C552" s="1">
        <v>39448</v>
      </c>
      <c r="D552" t="s">
        <v>62</v>
      </c>
      <c r="E552" t="s">
        <v>53</v>
      </c>
      <c r="F552" t="s">
        <v>63</v>
      </c>
      <c r="G552" t="s">
        <v>39</v>
      </c>
      <c r="H552" t="s">
        <v>141</v>
      </c>
      <c r="J552" t="s">
        <v>226</v>
      </c>
      <c r="K552" s="2">
        <v>38</v>
      </c>
      <c r="L552">
        <v>20</v>
      </c>
      <c r="M552">
        <f t="shared" si="8"/>
        <v>760</v>
      </c>
    </row>
    <row r="553" spans="1:13">
      <c r="A553" t="s">
        <v>224</v>
      </c>
      <c r="B553" t="s">
        <v>225</v>
      </c>
      <c r="C553" s="1">
        <v>39474</v>
      </c>
      <c r="D553" t="s">
        <v>95</v>
      </c>
      <c r="E553" t="s">
        <v>15</v>
      </c>
      <c r="F553" t="s">
        <v>27</v>
      </c>
      <c r="G553" t="s">
        <v>39</v>
      </c>
      <c r="H553" t="s">
        <v>141</v>
      </c>
      <c r="J553" t="s">
        <v>226</v>
      </c>
      <c r="K553" s="2">
        <v>21.05</v>
      </c>
      <c r="L553">
        <v>15</v>
      </c>
      <c r="M553">
        <f t="shared" si="8"/>
        <v>315.75</v>
      </c>
    </row>
    <row r="554" spans="1:13">
      <c r="A554" t="s">
        <v>224</v>
      </c>
      <c r="B554" t="s">
        <v>225</v>
      </c>
      <c r="C554" s="1">
        <v>39746</v>
      </c>
      <c r="D554" t="s">
        <v>83</v>
      </c>
      <c r="E554" t="s">
        <v>24</v>
      </c>
      <c r="F554" t="s">
        <v>84</v>
      </c>
      <c r="G554" t="s">
        <v>17</v>
      </c>
      <c r="H554" t="s">
        <v>141</v>
      </c>
      <c r="J554" t="s">
        <v>226</v>
      </c>
      <c r="K554" s="2">
        <v>20.7</v>
      </c>
      <c r="L554">
        <v>15</v>
      </c>
      <c r="M554">
        <f t="shared" si="8"/>
        <v>310.5</v>
      </c>
    </row>
    <row r="555" spans="1:13">
      <c r="A555" t="s">
        <v>224</v>
      </c>
      <c r="B555" t="s">
        <v>225</v>
      </c>
      <c r="C555" s="1">
        <v>39474</v>
      </c>
      <c r="D555" t="s">
        <v>137</v>
      </c>
      <c r="E555" t="s">
        <v>15</v>
      </c>
      <c r="F555" t="s">
        <v>76</v>
      </c>
      <c r="G555" t="s">
        <v>39</v>
      </c>
      <c r="H555" t="s">
        <v>141</v>
      </c>
      <c r="J555" t="s">
        <v>226</v>
      </c>
      <c r="K555" s="2">
        <v>12.5</v>
      </c>
      <c r="L555">
        <v>14</v>
      </c>
      <c r="M555">
        <f t="shared" si="8"/>
        <v>175</v>
      </c>
    </row>
    <row r="556" spans="1:13">
      <c r="A556" t="s">
        <v>224</v>
      </c>
      <c r="B556" t="s">
        <v>225</v>
      </c>
      <c r="C556" s="1">
        <v>40102</v>
      </c>
      <c r="D556" t="s">
        <v>94</v>
      </c>
      <c r="E556" t="s">
        <v>67</v>
      </c>
      <c r="F556" t="s">
        <v>74</v>
      </c>
      <c r="G556" t="s">
        <v>17</v>
      </c>
      <c r="H556" t="s">
        <v>141</v>
      </c>
      <c r="J556" t="s">
        <v>226</v>
      </c>
      <c r="K556" s="2">
        <v>46</v>
      </c>
      <c r="L556">
        <v>24</v>
      </c>
      <c r="M556">
        <f t="shared" si="8"/>
        <v>1104</v>
      </c>
    </row>
    <row r="557" spans="1:13">
      <c r="A557" t="s">
        <v>224</v>
      </c>
      <c r="B557" t="s">
        <v>225</v>
      </c>
      <c r="C557" s="1">
        <v>40102</v>
      </c>
      <c r="D557" t="s">
        <v>52</v>
      </c>
      <c r="E557" t="s">
        <v>67</v>
      </c>
      <c r="F557" t="s">
        <v>54</v>
      </c>
      <c r="G557" t="s">
        <v>17</v>
      </c>
      <c r="H557" t="s">
        <v>141</v>
      </c>
      <c r="J557" t="s">
        <v>226</v>
      </c>
      <c r="K557" s="2">
        <v>55</v>
      </c>
      <c r="L557">
        <v>8</v>
      </c>
      <c r="M557">
        <f t="shared" si="8"/>
        <v>440</v>
      </c>
    </row>
    <row r="558" spans="1:13">
      <c r="A558" t="s">
        <v>224</v>
      </c>
      <c r="B558" t="s">
        <v>225</v>
      </c>
      <c r="C558" s="1">
        <v>39558</v>
      </c>
      <c r="D558" t="s">
        <v>34</v>
      </c>
      <c r="E558" t="s">
        <v>67</v>
      </c>
      <c r="F558" t="s">
        <v>35</v>
      </c>
      <c r="G558" t="s">
        <v>39</v>
      </c>
      <c r="H558" t="s">
        <v>141</v>
      </c>
      <c r="J558" t="s">
        <v>226</v>
      </c>
      <c r="K558" s="2">
        <v>10</v>
      </c>
      <c r="L558">
        <v>15</v>
      </c>
      <c r="M558">
        <f t="shared" si="8"/>
        <v>150</v>
      </c>
    </row>
    <row r="559" spans="1:13">
      <c r="A559" t="s">
        <v>224</v>
      </c>
      <c r="B559" t="s">
        <v>225</v>
      </c>
      <c r="C559" s="1">
        <v>39746</v>
      </c>
      <c r="D559" t="s">
        <v>48</v>
      </c>
      <c r="E559" t="s">
        <v>24</v>
      </c>
      <c r="F559" t="s">
        <v>22</v>
      </c>
      <c r="G559" t="s">
        <v>17</v>
      </c>
      <c r="H559" t="s">
        <v>141</v>
      </c>
      <c r="J559" t="s">
        <v>226</v>
      </c>
      <c r="K559" s="2">
        <v>31.2</v>
      </c>
      <c r="L559">
        <v>20</v>
      </c>
      <c r="M559">
        <f t="shared" si="8"/>
        <v>624</v>
      </c>
    </row>
    <row r="560" spans="1:13">
      <c r="A560" t="s">
        <v>224</v>
      </c>
      <c r="B560" t="s">
        <v>225</v>
      </c>
      <c r="C560" s="1">
        <v>40080</v>
      </c>
      <c r="D560" t="s">
        <v>20</v>
      </c>
      <c r="E560" t="s">
        <v>21</v>
      </c>
      <c r="F560" t="s">
        <v>22</v>
      </c>
      <c r="G560" t="s">
        <v>17</v>
      </c>
      <c r="H560" t="s">
        <v>141</v>
      </c>
      <c r="J560" t="s">
        <v>226</v>
      </c>
      <c r="K560" s="2">
        <v>17.45</v>
      </c>
      <c r="L560">
        <v>50</v>
      </c>
      <c r="M560">
        <f t="shared" si="8"/>
        <v>872.5</v>
      </c>
    </row>
    <row r="561" spans="1:13">
      <c r="A561" t="s">
        <v>224</v>
      </c>
      <c r="B561" t="s">
        <v>225</v>
      </c>
      <c r="C561" s="1">
        <v>39558</v>
      </c>
      <c r="D561" t="s">
        <v>73</v>
      </c>
      <c r="E561" t="s">
        <v>67</v>
      </c>
      <c r="F561" t="s">
        <v>74</v>
      </c>
      <c r="G561" t="s">
        <v>39</v>
      </c>
      <c r="H561" t="s">
        <v>141</v>
      </c>
      <c r="J561" t="s">
        <v>226</v>
      </c>
      <c r="K561" s="2">
        <v>19.45</v>
      </c>
      <c r="L561">
        <v>12</v>
      </c>
      <c r="M561">
        <f t="shared" si="8"/>
        <v>233.39999999999998</v>
      </c>
    </row>
    <row r="562" spans="1:13">
      <c r="A562" t="s">
        <v>224</v>
      </c>
      <c r="B562" t="s">
        <v>225</v>
      </c>
      <c r="C562" s="1">
        <v>40102</v>
      </c>
      <c r="D562" t="s">
        <v>20</v>
      </c>
      <c r="E562" t="s">
        <v>67</v>
      </c>
      <c r="F562" t="s">
        <v>22</v>
      </c>
      <c r="G562" t="s">
        <v>17</v>
      </c>
      <c r="H562" t="s">
        <v>141</v>
      </c>
      <c r="J562" t="s">
        <v>226</v>
      </c>
      <c r="K562" s="2">
        <v>17.45</v>
      </c>
      <c r="L562">
        <v>20</v>
      </c>
      <c r="M562">
        <f t="shared" si="8"/>
        <v>349</v>
      </c>
    </row>
    <row r="563" spans="1:13">
      <c r="A563" t="s">
        <v>224</v>
      </c>
      <c r="B563" t="s">
        <v>225</v>
      </c>
      <c r="C563" s="1">
        <v>39474</v>
      </c>
      <c r="D563" t="s">
        <v>62</v>
      </c>
      <c r="E563" t="s">
        <v>15</v>
      </c>
      <c r="F563" t="s">
        <v>63</v>
      </c>
      <c r="G563" t="s">
        <v>39</v>
      </c>
      <c r="H563" t="s">
        <v>141</v>
      </c>
      <c r="J563" t="s">
        <v>226</v>
      </c>
      <c r="K563" s="2">
        <v>38</v>
      </c>
      <c r="L563">
        <v>24</v>
      </c>
      <c r="M563">
        <f t="shared" si="8"/>
        <v>912</v>
      </c>
    </row>
    <row r="564" spans="1:13">
      <c r="A564" t="s">
        <v>227</v>
      </c>
      <c r="B564" t="s">
        <v>228</v>
      </c>
      <c r="C564" s="1">
        <v>40114</v>
      </c>
      <c r="D564" t="s">
        <v>138</v>
      </c>
      <c r="E564" t="s">
        <v>15</v>
      </c>
      <c r="F564" t="s">
        <v>76</v>
      </c>
      <c r="G564" t="s">
        <v>39</v>
      </c>
      <c r="H564" t="s">
        <v>211</v>
      </c>
      <c r="J564" t="s">
        <v>212</v>
      </c>
      <c r="K564" s="2">
        <v>32</v>
      </c>
      <c r="L564">
        <v>10</v>
      </c>
      <c r="M564">
        <f t="shared" si="8"/>
        <v>320</v>
      </c>
    </row>
    <row r="565" spans="1:13">
      <c r="A565" t="s">
        <v>227</v>
      </c>
      <c r="B565" t="s">
        <v>228</v>
      </c>
      <c r="C565" s="1">
        <v>39709</v>
      </c>
      <c r="D565" t="s">
        <v>43</v>
      </c>
      <c r="E565" t="s">
        <v>50</v>
      </c>
      <c r="F565" t="s">
        <v>41</v>
      </c>
      <c r="G565" t="s">
        <v>17</v>
      </c>
      <c r="H565" t="s">
        <v>211</v>
      </c>
      <c r="J565" t="s">
        <v>212</v>
      </c>
      <c r="K565" s="2">
        <v>28.8</v>
      </c>
      <c r="L565">
        <v>1</v>
      </c>
      <c r="M565">
        <f t="shared" si="8"/>
        <v>28.8</v>
      </c>
    </row>
    <row r="566" spans="1:13">
      <c r="A566" t="s">
        <v>227</v>
      </c>
      <c r="B566" t="s">
        <v>228</v>
      </c>
      <c r="C566" s="1">
        <v>39709</v>
      </c>
      <c r="D566" t="s">
        <v>116</v>
      </c>
      <c r="E566" t="s">
        <v>50</v>
      </c>
      <c r="F566" t="s">
        <v>22</v>
      </c>
      <c r="G566" t="s">
        <v>17</v>
      </c>
      <c r="H566" t="s">
        <v>211</v>
      </c>
      <c r="J566" t="s">
        <v>212</v>
      </c>
      <c r="K566" s="2">
        <v>12</v>
      </c>
      <c r="L566">
        <v>5</v>
      </c>
      <c r="M566">
        <f t="shared" si="8"/>
        <v>60</v>
      </c>
    </row>
    <row r="567" spans="1:13">
      <c r="A567" t="s">
        <v>227</v>
      </c>
      <c r="B567" t="s">
        <v>228</v>
      </c>
      <c r="C567" s="1">
        <v>39511</v>
      </c>
      <c r="D567" t="s">
        <v>64</v>
      </c>
      <c r="E567" t="s">
        <v>24</v>
      </c>
      <c r="F567" t="s">
        <v>35</v>
      </c>
      <c r="G567" t="s">
        <v>39</v>
      </c>
      <c r="H567" t="s">
        <v>211</v>
      </c>
      <c r="J567" t="s">
        <v>212</v>
      </c>
      <c r="K567" s="2">
        <v>9.1999999999999993</v>
      </c>
      <c r="L567">
        <v>7</v>
      </c>
      <c r="M567">
        <f t="shared" si="8"/>
        <v>64.399999999999991</v>
      </c>
    </row>
    <row r="568" spans="1:13">
      <c r="A568" t="s">
        <v>227</v>
      </c>
      <c r="B568" t="s">
        <v>228</v>
      </c>
      <c r="C568" s="1">
        <v>39511</v>
      </c>
      <c r="D568" t="s">
        <v>131</v>
      </c>
      <c r="E568" t="s">
        <v>24</v>
      </c>
      <c r="F568" t="s">
        <v>132</v>
      </c>
      <c r="G568" t="s">
        <v>39</v>
      </c>
      <c r="H568" t="s">
        <v>211</v>
      </c>
      <c r="J568" t="s">
        <v>212</v>
      </c>
      <c r="K568" s="2">
        <v>21</v>
      </c>
      <c r="L568">
        <v>2</v>
      </c>
      <c r="M568">
        <f t="shared" si="8"/>
        <v>42</v>
      </c>
    </row>
    <row r="569" spans="1:13">
      <c r="A569" t="s">
        <v>227</v>
      </c>
      <c r="B569" t="s">
        <v>228</v>
      </c>
      <c r="C569" s="1">
        <v>40033</v>
      </c>
      <c r="D569" t="s">
        <v>86</v>
      </c>
      <c r="E569" t="s">
        <v>15</v>
      </c>
      <c r="F569" t="s">
        <v>54</v>
      </c>
      <c r="G569" t="s">
        <v>17</v>
      </c>
      <c r="H569" t="s">
        <v>211</v>
      </c>
      <c r="J569" t="s">
        <v>212</v>
      </c>
      <c r="K569" s="2">
        <v>34</v>
      </c>
      <c r="L569">
        <v>10</v>
      </c>
      <c r="M569">
        <f t="shared" si="8"/>
        <v>340</v>
      </c>
    </row>
    <row r="570" spans="1:13">
      <c r="A570" t="s">
        <v>227</v>
      </c>
      <c r="B570" t="s">
        <v>228</v>
      </c>
      <c r="C570" s="1">
        <v>40033</v>
      </c>
      <c r="D570" t="s">
        <v>110</v>
      </c>
      <c r="E570" t="s">
        <v>15</v>
      </c>
      <c r="F570" t="s">
        <v>74</v>
      </c>
      <c r="G570" t="s">
        <v>17</v>
      </c>
      <c r="H570" t="s">
        <v>211</v>
      </c>
      <c r="J570" t="s">
        <v>212</v>
      </c>
      <c r="K570" s="2">
        <v>14</v>
      </c>
      <c r="L570">
        <v>5</v>
      </c>
      <c r="M570">
        <f t="shared" si="8"/>
        <v>70</v>
      </c>
    </row>
    <row r="571" spans="1:13">
      <c r="A571" t="s">
        <v>227</v>
      </c>
      <c r="B571" t="s">
        <v>228</v>
      </c>
      <c r="C571" s="1">
        <v>40033</v>
      </c>
      <c r="D571" t="s">
        <v>153</v>
      </c>
      <c r="E571" t="s">
        <v>15</v>
      </c>
      <c r="F571" t="s">
        <v>125</v>
      </c>
      <c r="G571" t="s">
        <v>17</v>
      </c>
      <c r="H571" t="s">
        <v>211</v>
      </c>
      <c r="J571" t="s">
        <v>212</v>
      </c>
      <c r="K571" s="2">
        <v>23.25</v>
      </c>
      <c r="L571">
        <v>3</v>
      </c>
      <c r="M571">
        <f t="shared" si="8"/>
        <v>69.75</v>
      </c>
    </row>
    <row r="572" spans="1:13">
      <c r="A572" t="s">
        <v>227</v>
      </c>
      <c r="B572" t="s">
        <v>228</v>
      </c>
      <c r="C572" s="1">
        <v>39511</v>
      </c>
      <c r="D572" t="s">
        <v>124</v>
      </c>
      <c r="E572" t="s">
        <v>24</v>
      </c>
      <c r="F572" t="s">
        <v>125</v>
      </c>
      <c r="G572" t="s">
        <v>39</v>
      </c>
      <c r="H572" t="s">
        <v>211</v>
      </c>
      <c r="J572" t="s">
        <v>212</v>
      </c>
      <c r="K572" s="2">
        <v>6</v>
      </c>
      <c r="L572">
        <v>10</v>
      </c>
      <c r="M572">
        <f t="shared" si="8"/>
        <v>60</v>
      </c>
    </row>
    <row r="573" spans="1:13">
      <c r="A573" t="s">
        <v>227</v>
      </c>
      <c r="B573" t="s">
        <v>228</v>
      </c>
      <c r="C573" s="1">
        <v>39511</v>
      </c>
      <c r="D573" t="s">
        <v>75</v>
      </c>
      <c r="E573" t="s">
        <v>24</v>
      </c>
      <c r="F573" t="s">
        <v>76</v>
      </c>
      <c r="G573" t="s">
        <v>39</v>
      </c>
      <c r="H573" t="s">
        <v>211</v>
      </c>
      <c r="J573" t="s">
        <v>212</v>
      </c>
      <c r="K573" s="2">
        <v>34.799999999999997</v>
      </c>
      <c r="L573">
        <v>10</v>
      </c>
      <c r="M573">
        <f t="shared" si="8"/>
        <v>348</v>
      </c>
    </row>
    <row r="574" spans="1:13">
      <c r="A574" t="s">
        <v>229</v>
      </c>
      <c r="B574" t="s">
        <v>230</v>
      </c>
      <c r="C574" s="1">
        <v>39918</v>
      </c>
      <c r="D574" t="s">
        <v>116</v>
      </c>
      <c r="E574" t="s">
        <v>103</v>
      </c>
      <c r="F574" t="s">
        <v>22</v>
      </c>
      <c r="G574" t="s">
        <v>17</v>
      </c>
      <c r="H574" t="s">
        <v>199</v>
      </c>
      <c r="J574" t="s">
        <v>231</v>
      </c>
      <c r="K574" s="2">
        <v>15</v>
      </c>
      <c r="L574">
        <v>14</v>
      </c>
      <c r="M574">
        <f t="shared" si="8"/>
        <v>210</v>
      </c>
    </row>
    <row r="575" spans="1:13">
      <c r="A575" t="s">
        <v>229</v>
      </c>
      <c r="B575" t="s">
        <v>230</v>
      </c>
      <c r="C575" s="1">
        <v>39879</v>
      </c>
      <c r="D575" t="s">
        <v>83</v>
      </c>
      <c r="E575" t="s">
        <v>15</v>
      </c>
      <c r="F575" t="s">
        <v>84</v>
      </c>
      <c r="G575" t="s">
        <v>17</v>
      </c>
      <c r="H575" t="s">
        <v>199</v>
      </c>
      <c r="J575" t="s">
        <v>231</v>
      </c>
      <c r="K575" s="2">
        <v>20.7</v>
      </c>
      <c r="L575">
        <v>8</v>
      </c>
      <c r="M575">
        <f t="shared" si="8"/>
        <v>165.6</v>
      </c>
    </row>
    <row r="576" spans="1:13">
      <c r="A576" t="s">
        <v>229</v>
      </c>
      <c r="B576" t="s">
        <v>230</v>
      </c>
      <c r="C576" s="1">
        <v>39496</v>
      </c>
      <c r="D576" t="s">
        <v>57</v>
      </c>
      <c r="E576" t="s">
        <v>103</v>
      </c>
      <c r="F576" t="s">
        <v>58</v>
      </c>
      <c r="G576" t="s">
        <v>39</v>
      </c>
      <c r="H576" t="s">
        <v>199</v>
      </c>
      <c r="J576" t="s">
        <v>231</v>
      </c>
      <c r="K576" s="2">
        <v>19</v>
      </c>
      <c r="L576">
        <v>20</v>
      </c>
      <c r="M576">
        <f t="shared" si="8"/>
        <v>380</v>
      </c>
    </row>
    <row r="577" spans="1:13">
      <c r="A577" t="s">
        <v>229</v>
      </c>
      <c r="B577" t="s">
        <v>230</v>
      </c>
      <c r="C577" s="1">
        <v>39879</v>
      </c>
      <c r="D577" t="s">
        <v>94</v>
      </c>
      <c r="E577" t="s">
        <v>15</v>
      </c>
      <c r="F577" t="s">
        <v>74</v>
      </c>
      <c r="G577" t="s">
        <v>17</v>
      </c>
      <c r="H577" t="s">
        <v>199</v>
      </c>
      <c r="J577" t="s">
        <v>231</v>
      </c>
      <c r="K577" s="2">
        <v>36.799999999999997</v>
      </c>
      <c r="L577">
        <v>15</v>
      </c>
      <c r="M577">
        <f t="shared" si="8"/>
        <v>552</v>
      </c>
    </row>
    <row r="578" spans="1:13">
      <c r="A578" t="s">
        <v>229</v>
      </c>
      <c r="B578" t="s">
        <v>230</v>
      </c>
      <c r="C578" s="1">
        <v>39496</v>
      </c>
      <c r="D578" t="s">
        <v>88</v>
      </c>
      <c r="E578" t="s">
        <v>103</v>
      </c>
      <c r="F578" t="s">
        <v>51</v>
      </c>
      <c r="G578" t="s">
        <v>39</v>
      </c>
      <c r="H578" t="s">
        <v>199</v>
      </c>
      <c r="J578" t="s">
        <v>231</v>
      </c>
      <c r="K578" s="2">
        <v>123.79</v>
      </c>
      <c r="L578">
        <v>24</v>
      </c>
      <c r="M578">
        <f t="shared" si="8"/>
        <v>2970.96</v>
      </c>
    </row>
    <row r="579" spans="1:13">
      <c r="A579" t="s">
        <v>229</v>
      </c>
      <c r="B579" t="s">
        <v>230</v>
      </c>
      <c r="C579" s="1">
        <v>39496</v>
      </c>
      <c r="D579" t="s">
        <v>98</v>
      </c>
      <c r="E579" t="s">
        <v>103</v>
      </c>
      <c r="F579" t="s">
        <v>99</v>
      </c>
      <c r="G579" t="s">
        <v>39</v>
      </c>
      <c r="H579" t="s">
        <v>199</v>
      </c>
      <c r="J579" t="s">
        <v>231</v>
      </c>
      <c r="K579" s="2">
        <v>4.5</v>
      </c>
      <c r="L579">
        <v>10</v>
      </c>
      <c r="M579">
        <f t="shared" ref="M579:M642" si="9">K579*L579</f>
        <v>45</v>
      </c>
    </row>
    <row r="580" spans="1:13">
      <c r="A580" t="s">
        <v>229</v>
      </c>
      <c r="B580" t="s">
        <v>230</v>
      </c>
      <c r="C580" s="1">
        <v>39496</v>
      </c>
      <c r="D580" t="s">
        <v>23</v>
      </c>
      <c r="E580" t="s">
        <v>103</v>
      </c>
      <c r="F580" t="s">
        <v>25</v>
      </c>
      <c r="G580" t="s">
        <v>39</v>
      </c>
      <c r="H580" t="s">
        <v>199</v>
      </c>
      <c r="J580" t="s">
        <v>231</v>
      </c>
      <c r="K580" s="2">
        <v>40</v>
      </c>
      <c r="L580">
        <v>30</v>
      </c>
      <c r="M580">
        <f t="shared" si="9"/>
        <v>1200</v>
      </c>
    </row>
    <row r="581" spans="1:13">
      <c r="A581" t="s">
        <v>229</v>
      </c>
      <c r="B581" t="s">
        <v>230</v>
      </c>
      <c r="C581" s="1">
        <v>39953</v>
      </c>
      <c r="D581" t="s">
        <v>14</v>
      </c>
      <c r="E581" t="s">
        <v>21</v>
      </c>
      <c r="F581" t="s">
        <v>16</v>
      </c>
      <c r="G581" t="s">
        <v>17</v>
      </c>
      <c r="H581" t="s">
        <v>199</v>
      </c>
      <c r="J581" t="s">
        <v>231</v>
      </c>
      <c r="K581" s="2">
        <v>7.45</v>
      </c>
      <c r="L581">
        <v>24</v>
      </c>
      <c r="M581">
        <f t="shared" si="9"/>
        <v>178.8</v>
      </c>
    </row>
    <row r="582" spans="1:13">
      <c r="A582" t="s">
        <v>229</v>
      </c>
      <c r="B582" t="s">
        <v>230</v>
      </c>
      <c r="C582" s="1">
        <v>39453</v>
      </c>
      <c r="D582" t="s">
        <v>38</v>
      </c>
      <c r="E582" t="s">
        <v>15</v>
      </c>
      <c r="F582" t="s">
        <v>29</v>
      </c>
      <c r="G582" t="s">
        <v>39</v>
      </c>
      <c r="H582" t="s">
        <v>199</v>
      </c>
      <c r="J582" t="s">
        <v>231</v>
      </c>
      <c r="K582" s="2">
        <v>49.3</v>
      </c>
      <c r="L582">
        <v>25</v>
      </c>
      <c r="M582">
        <f t="shared" si="9"/>
        <v>1232.5</v>
      </c>
    </row>
    <row r="583" spans="1:13">
      <c r="A583" t="s">
        <v>229</v>
      </c>
      <c r="B583" t="s">
        <v>230</v>
      </c>
      <c r="C583" s="1">
        <v>39453</v>
      </c>
      <c r="D583" t="s">
        <v>185</v>
      </c>
      <c r="E583" t="s">
        <v>15</v>
      </c>
      <c r="F583" t="s">
        <v>134</v>
      </c>
      <c r="G583" t="s">
        <v>39</v>
      </c>
      <c r="H583" t="s">
        <v>199</v>
      </c>
      <c r="J583" t="s">
        <v>231</v>
      </c>
      <c r="K583" s="2">
        <v>18.399999999999999</v>
      </c>
      <c r="L583">
        <v>60</v>
      </c>
      <c r="M583">
        <f t="shared" si="9"/>
        <v>1104</v>
      </c>
    </row>
    <row r="584" spans="1:13">
      <c r="A584" t="s">
        <v>229</v>
      </c>
      <c r="B584" t="s">
        <v>230</v>
      </c>
      <c r="C584" s="1">
        <v>39453</v>
      </c>
      <c r="D584" t="s">
        <v>55</v>
      </c>
      <c r="E584" t="s">
        <v>15</v>
      </c>
      <c r="F584" t="s">
        <v>56</v>
      </c>
      <c r="G584" t="s">
        <v>39</v>
      </c>
      <c r="H584" t="s">
        <v>199</v>
      </c>
      <c r="J584" t="s">
        <v>231</v>
      </c>
      <c r="K584" s="2">
        <v>263.5</v>
      </c>
      <c r="L584">
        <v>30</v>
      </c>
      <c r="M584">
        <f t="shared" si="9"/>
        <v>7905</v>
      </c>
    </row>
    <row r="585" spans="1:13">
      <c r="A585" t="s">
        <v>229</v>
      </c>
      <c r="B585" t="s">
        <v>230</v>
      </c>
      <c r="C585" s="1">
        <v>39453</v>
      </c>
      <c r="D585" t="s">
        <v>30</v>
      </c>
      <c r="E585" t="s">
        <v>15</v>
      </c>
      <c r="F585" t="s">
        <v>31</v>
      </c>
      <c r="G585" t="s">
        <v>39</v>
      </c>
      <c r="H585" t="s">
        <v>199</v>
      </c>
      <c r="J585" t="s">
        <v>231</v>
      </c>
      <c r="K585" s="2">
        <v>31.23</v>
      </c>
      <c r="L585">
        <v>40</v>
      </c>
      <c r="M585">
        <f t="shared" si="9"/>
        <v>1249.2</v>
      </c>
    </row>
    <row r="586" spans="1:13">
      <c r="A586" t="s">
        <v>229</v>
      </c>
      <c r="B586" t="s">
        <v>230</v>
      </c>
      <c r="C586" s="1">
        <v>39496</v>
      </c>
      <c r="D586" t="s">
        <v>83</v>
      </c>
      <c r="E586" t="s">
        <v>103</v>
      </c>
      <c r="F586" t="s">
        <v>84</v>
      </c>
      <c r="G586" t="s">
        <v>39</v>
      </c>
      <c r="H586" t="s">
        <v>199</v>
      </c>
      <c r="J586" t="s">
        <v>231</v>
      </c>
      <c r="K586" s="2">
        <v>25.89</v>
      </c>
      <c r="L586">
        <v>35</v>
      </c>
      <c r="M586">
        <f t="shared" si="9"/>
        <v>906.15</v>
      </c>
    </row>
    <row r="587" spans="1:13">
      <c r="A587" t="s">
        <v>229</v>
      </c>
      <c r="B587" t="s">
        <v>230</v>
      </c>
      <c r="C587" s="1">
        <v>40038</v>
      </c>
      <c r="D587" t="s">
        <v>96</v>
      </c>
      <c r="E587" t="s">
        <v>21</v>
      </c>
      <c r="F587" t="s">
        <v>97</v>
      </c>
      <c r="G587" t="s">
        <v>17</v>
      </c>
      <c r="H587" t="s">
        <v>199</v>
      </c>
      <c r="J587" t="s">
        <v>231</v>
      </c>
      <c r="K587" s="2">
        <v>18</v>
      </c>
      <c r="L587">
        <v>35</v>
      </c>
      <c r="M587">
        <f t="shared" si="9"/>
        <v>630</v>
      </c>
    </row>
    <row r="588" spans="1:13">
      <c r="A588" t="s">
        <v>229</v>
      </c>
      <c r="B588" t="s">
        <v>230</v>
      </c>
      <c r="C588" s="1">
        <v>40113</v>
      </c>
      <c r="D588" t="s">
        <v>154</v>
      </c>
      <c r="E588" t="s">
        <v>21</v>
      </c>
      <c r="F588" t="s">
        <v>132</v>
      </c>
      <c r="G588" t="s">
        <v>17</v>
      </c>
      <c r="H588" t="s">
        <v>199</v>
      </c>
      <c r="J588" t="s">
        <v>231</v>
      </c>
      <c r="K588" s="2">
        <v>38</v>
      </c>
      <c r="L588">
        <v>36</v>
      </c>
      <c r="M588">
        <f t="shared" si="9"/>
        <v>1368</v>
      </c>
    </row>
    <row r="589" spans="1:13">
      <c r="A589" t="s">
        <v>229</v>
      </c>
      <c r="B589" t="s">
        <v>230</v>
      </c>
      <c r="C589" s="1">
        <v>39730</v>
      </c>
      <c r="D589" t="s">
        <v>137</v>
      </c>
      <c r="E589" t="s">
        <v>21</v>
      </c>
      <c r="F589" t="s">
        <v>76</v>
      </c>
      <c r="G589" t="s">
        <v>17</v>
      </c>
      <c r="H589" t="s">
        <v>199</v>
      </c>
      <c r="J589" t="s">
        <v>231</v>
      </c>
      <c r="K589" s="2">
        <v>10</v>
      </c>
      <c r="L589">
        <v>4</v>
      </c>
      <c r="M589">
        <f t="shared" si="9"/>
        <v>40</v>
      </c>
    </row>
    <row r="590" spans="1:13">
      <c r="A590" t="s">
        <v>229</v>
      </c>
      <c r="B590" t="s">
        <v>230</v>
      </c>
      <c r="C590" s="1">
        <v>39730</v>
      </c>
      <c r="D590" t="s">
        <v>124</v>
      </c>
      <c r="E590" t="s">
        <v>21</v>
      </c>
      <c r="F590" t="s">
        <v>125</v>
      </c>
      <c r="G590" t="s">
        <v>17</v>
      </c>
      <c r="H590" t="s">
        <v>199</v>
      </c>
      <c r="J590" t="s">
        <v>231</v>
      </c>
      <c r="K590" s="2">
        <v>4.8</v>
      </c>
      <c r="L590">
        <v>12</v>
      </c>
      <c r="M590">
        <f t="shared" si="9"/>
        <v>57.599999999999994</v>
      </c>
    </row>
    <row r="591" spans="1:13">
      <c r="A591" t="s">
        <v>229</v>
      </c>
      <c r="B591" t="s">
        <v>230</v>
      </c>
      <c r="C591" s="1">
        <v>39728</v>
      </c>
      <c r="D591" t="s">
        <v>109</v>
      </c>
      <c r="E591" t="s">
        <v>24</v>
      </c>
      <c r="F591" t="s">
        <v>56</v>
      </c>
      <c r="G591" t="s">
        <v>17</v>
      </c>
      <c r="H591" t="s">
        <v>199</v>
      </c>
      <c r="J591" t="s">
        <v>231</v>
      </c>
      <c r="K591" s="2">
        <v>14.4</v>
      </c>
      <c r="L591">
        <v>4</v>
      </c>
      <c r="M591">
        <f t="shared" si="9"/>
        <v>57.6</v>
      </c>
    </row>
    <row r="592" spans="1:13">
      <c r="A592" t="s">
        <v>229</v>
      </c>
      <c r="B592" t="s">
        <v>230</v>
      </c>
      <c r="C592" s="1">
        <v>39470</v>
      </c>
      <c r="D592" t="s">
        <v>30</v>
      </c>
      <c r="E592" t="s">
        <v>103</v>
      </c>
      <c r="F592" t="s">
        <v>31</v>
      </c>
      <c r="G592" t="s">
        <v>39</v>
      </c>
      <c r="H592" t="s">
        <v>199</v>
      </c>
      <c r="J592" t="s">
        <v>231</v>
      </c>
      <c r="K592" s="2">
        <v>31.23</v>
      </c>
      <c r="L592">
        <v>18</v>
      </c>
      <c r="M592">
        <f t="shared" si="9"/>
        <v>562.14</v>
      </c>
    </row>
    <row r="593" spans="1:13">
      <c r="A593" t="s">
        <v>229</v>
      </c>
      <c r="B593" t="s">
        <v>230</v>
      </c>
      <c r="C593" s="1">
        <v>39470</v>
      </c>
      <c r="D593" t="s">
        <v>151</v>
      </c>
      <c r="E593" t="s">
        <v>103</v>
      </c>
      <c r="F593" t="s">
        <v>37</v>
      </c>
      <c r="G593" t="s">
        <v>39</v>
      </c>
      <c r="H593" t="s">
        <v>199</v>
      </c>
      <c r="J593" t="s">
        <v>231</v>
      </c>
      <c r="K593" s="2">
        <v>10</v>
      </c>
      <c r="L593">
        <v>49</v>
      </c>
      <c r="M593">
        <f t="shared" si="9"/>
        <v>490</v>
      </c>
    </row>
    <row r="594" spans="1:13">
      <c r="A594" t="s">
        <v>229</v>
      </c>
      <c r="B594" t="s">
        <v>230</v>
      </c>
      <c r="C594" s="1">
        <v>39730</v>
      </c>
      <c r="D594" t="s">
        <v>153</v>
      </c>
      <c r="E594" t="s">
        <v>21</v>
      </c>
      <c r="F594" t="s">
        <v>125</v>
      </c>
      <c r="G594" t="s">
        <v>17</v>
      </c>
      <c r="H594" t="s">
        <v>199</v>
      </c>
      <c r="J594" t="s">
        <v>231</v>
      </c>
      <c r="K594" s="2">
        <v>18.600000000000001</v>
      </c>
      <c r="L594">
        <v>9</v>
      </c>
      <c r="M594">
        <f t="shared" si="9"/>
        <v>167.4</v>
      </c>
    </row>
    <row r="595" spans="1:13">
      <c r="A595" t="s">
        <v>229</v>
      </c>
      <c r="B595" t="s">
        <v>230</v>
      </c>
      <c r="C595" s="1">
        <v>39728</v>
      </c>
      <c r="D595" t="s">
        <v>180</v>
      </c>
      <c r="E595" t="s">
        <v>24</v>
      </c>
      <c r="F595" t="s">
        <v>125</v>
      </c>
      <c r="G595" t="s">
        <v>17</v>
      </c>
      <c r="H595" t="s">
        <v>199</v>
      </c>
      <c r="J595" t="s">
        <v>231</v>
      </c>
      <c r="K595" s="2">
        <v>12.4</v>
      </c>
      <c r="L595">
        <v>5</v>
      </c>
      <c r="M595">
        <f t="shared" si="9"/>
        <v>62</v>
      </c>
    </row>
    <row r="596" spans="1:13">
      <c r="A596" t="s">
        <v>229</v>
      </c>
      <c r="B596" t="s">
        <v>230</v>
      </c>
      <c r="C596" s="1">
        <v>39730</v>
      </c>
      <c r="D596" t="s">
        <v>155</v>
      </c>
      <c r="E596" t="s">
        <v>21</v>
      </c>
      <c r="F596" t="s">
        <v>25</v>
      </c>
      <c r="G596" t="s">
        <v>17</v>
      </c>
      <c r="H596" t="s">
        <v>199</v>
      </c>
      <c r="J596" t="s">
        <v>231</v>
      </c>
      <c r="K596" s="2">
        <v>20</v>
      </c>
      <c r="L596">
        <v>6</v>
      </c>
      <c r="M596">
        <f t="shared" si="9"/>
        <v>120</v>
      </c>
    </row>
    <row r="597" spans="1:13">
      <c r="A597" t="s">
        <v>229</v>
      </c>
      <c r="B597" t="s">
        <v>230</v>
      </c>
      <c r="C597" s="1">
        <v>40082</v>
      </c>
      <c r="D597" t="s">
        <v>124</v>
      </c>
      <c r="E597" t="s">
        <v>103</v>
      </c>
      <c r="F597" t="s">
        <v>125</v>
      </c>
      <c r="G597" t="s">
        <v>39</v>
      </c>
      <c r="H597" t="s">
        <v>199</v>
      </c>
      <c r="J597" t="s">
        <v>231</v>
      </c>
      <c r="K597" s="2">
        <v>6</v>
      </c>
      <c r="L597">
        <v>20</v>
      </c>
      <c r="M597">
        <f t="shared" si="9"/>
        <v>120</v>
      </c>
    </row>
    <row r="598" spans="1:13">
      <c r="A598" t="s">
        <v>229</v>
      </c>
      <c r="B598" t="s">
        <v>230</v>
      </c>
      <c r="C598" s="1">
        <v>39554</v>
      </c>
      <c r="D598" t="s">
        <v>52</v>
      </c>
      <c r="E598" t="s">
        <v>53</v>
      </c>
      <c r="F598" t="s">
        <v>54</v>
      </c>
      <c r="G598" t="s">
        <v>39</v>
      </c>
      <c r="H598" t="s">
        <v>199</v>
      </c>
      <c r="J598" t="s">
        <v>231</v>
      </c>
      <c r="K598" s="2">
        <v>55</v>
      </c>
      <c r="L598">
        <v>24</v>
      </c>
      <c r="M598">
        <f t="shared" si="9"/>
        <v>1320</v>
      </c>
    </row>
    <row r="599" spans="1:13">
      <c r="A599" t="s">
        <v>229</v>
      </c>
      <c r="B599" t="s">
        <v>230</v>
      </c>
      <c r="C599" s="1">
        <v>40113</v>
      </c>
      <c r="D599" t="s">
        <v>38</v>
      </c>
      <c r="E599" t="s">
        <v>21</v>
      </c>
      <c r="F599" t="s">
        <v>29</v>
      </c>
      <c r="G599" t="s">
        <v>17</v>
      </c>
      <c r="H599" t="s">
        <v>199</v>
      </c>
      <c r="J599" t="s">
        <v>231</v>
      </c>
      <c r="K599" s="2">
        <v>49.3</v>
      </c>
      <c r="L599">
        <v>20</v>
      </c>
      <c r="M599">
        <f t="shared" si="9"/>
        <v>986</v>
      </c>
    </row>
    <row r="600" spans="1:13">
      <c r="A600" t="s">
        <v>229</v>
      </c>
      <c r="B600" t="s">
        <v>230</v>
      </c>
      <c r="C600" s="1">
        <v>39554</v>
      </c>
      <c r="D600" t="s">
        <v>148</v>
      </c>
      <c r="E600" t="s">
        <v>53</v>
      </c>
      <c r="F600" t="s">
        <v>16</v>
      </c>
      <c r="G600" t="s">
        <v>39</v>
      </c>
      <c r="H600" t="s">
        <v>199</v>
      </c>
      <c r="J600" t="s">
        <v>231</v>
      </c>
      <c r="K600" s="2">
        <v>24</v>
      </c>
      <c r="L600">
        <v>35</v>
      </c>
      <c r="M600">
        <f t="shared" si="9"/>
        <v>840</v>
      </c>
    </row>
    <row r="601" spans="1:13">
      <c r="A601" t="s">
        <v>229</v>
      </c>
      <c r="B601" t="s">
        <v>230</v>
      </c>
      <c r="C601" s="1">
        <v>40113</v>
      </c>
      <c r="D601" t="s">
        <v>20</v>
      </c>
      <c r="E601" t="s">
        <v>21</v>
      </c>
      <c r="F601" t="s">
        <v>22</v>
      </c>
      <c r="G601" t="s">
        <v>17</v>
      </c>
      <c r="H601" t="s">
        <v>199</v>
      </c>
      <c r="J601" t="s">
        <v>231</v>
      </c>
      <c r="K601" s="2">
        <v>17.45</v>
      </c>
      <c r="L601">
        <v>20</v>
      </c>
      <c r="M601">
        <f t="shared" si="9"/>
        <v>349</v>
      </c>
    </row>
    <row r="602" spans="1:13">
      <c r="A602" t="s">
        <v>229</v>
      </c>
      <c r="B602" t="s">
        <v>230</v>
      </c>
      <c r="C602" s="1">
        <v>40038</v>
      </c>
      <c r="D602" t="s">
        <v>148</v>
      </c>
      <c r="E602" t="s">
        <v>21</v>
      </c>
      <c r="F602" t="s">
        <v>16</v>
      </c>
      <c r="G602" t="s">
        <v>17</v>
      </c>
      <c r="H602" t="s">
        <v>199</v>
      </c>
      <c r="J602" t="s">
        <v>231</v>
      </c>
      <c r="K602" s="2">
        <v>24</v>
      </c>
      <c r="L602">
        <v>12</v>
      </c>
      <c r="M602">
        <f t="shared" si="9"/>
        <v>288</v>
      </c>
    </row>
    <row r="603" spans="1:13">
      <c r="A603" t="s">
        <v>229</v>
      </c>
      <c r="B603" t="s">
        <v>230</v>
      </c>
      <c r="C603" s="1">
        <v>39869</v>
      </c>
      <c r="D603" t="s">
        <v>52</v>
      </c>
      <c r="E603" t="s">
        <v>53</v>
      </c>
      <c r="F603" t="s">
        <v>54</v>
      </c>
      <c r="G603" t="s">
        <v>17</v>
      </c>
      <c r="H603" t="s">
        <v>199</v>
      </c>
      <c r="J603" t="s">
        <v>231</v>
      </c>
      <c r="K603" s="2">
        <v>44</v>
      </c>
      <c r="L603">
        <v>36</v>
      </c>
      <c r="M603">
        <f t="shared" si="9"/>
        <v>1584</v>
      </c>
    </row>
    <row r="604" spans="1:13">
      <c r="A604" t="s">
        <v>229</v>
      </c>
      <c r="B604" t="s">
        <v>230</v>
      </c>
      <c r="C604" s="1">
        <v>39953</v>
      </c>
      <c r="D604" t="s">
        <v>131</v>
      </c>
      <c r="E604" t="s">
        <v>21</v>
      </c>
      <c r="F604" t="s">
        <v>132</v>
      </c>
      <c r="G604" t="s">
        <v>17</v>
      </c>
      <c r="H604" t="s">
        <v>199</v>
      </c>
      <c r="J604" t="s">
        <v>231</v>
      </c>
      <c r="K604" s="2">
        <v>21</v>
      </c>
      <c r="L604">
        <v>15</v>
      </c>
      <c r="M604">
        <f t="shared" si="9"/>
        <v>315</v>
      </c>
    </row>
    <row r="605" spans="1:13">
      <c r="A605" t="s">
        <v>229</v>
      </c>
      <c r="B605" t="s">
        <v>230</v>
      </c>
      <c r="C605" s="1">
        <v>39728</v>
      </c>
      <c r="D605" t="s">
        <v>122</v>
      </c>
      <c r="E605" t="s">
        <v>24</v>
      </c>
      <c r="F605" t="s">
        <v>31</v>
      </c>
      <c r="G605" t="s">
        <v>17</v>
      </c>
      <c r="H605" t="s">
        <v>199</v>
      </c>
      <c r="J605" t="s">
        <v>231</v>
      </c>
      <c r="K605" s="2">
        <v>11.2</v>
      </c>
      <c r="L605">
        <v>4</v>
      </c>
      <c r="M605">
        <f t="shared" si="9"/>
        <v>44.8</v>
      </c>
    </row>
    <row r="606" spans="1:13">
      <c r="A606" t="s">
        <v>229</v>
      </c>
      <c r="B606" t="s">
        <v>230</v>
      </c>
      <c r="C606" s="1">
        <v>40082</v>
      </c>
      <c r="D606" t="s">
        <v>98</v>
      </c>
      <c r="E606" t="s">
        <v>103</v>
      </c>
      <c r="F606" t="s">
        <v>99</v>
      </c>
      <c r="G606" t="s">
        <v>39</v>
      </c>
      <c r="H606" t="s">
        <v>199</v>
      </c>
      <c r="J606" t="s">
        <v>231</v>
      </c>
      <c r="K606" s="2">
        <v>4.5</v>
      </c>
      <c r="L606">
        <v>20</v>
      </c>
      <c r="M606">
        <f t="shared" si="9"/>
        <v>90</v>
      </c>
    </row>
    <row r="607" spans="1:13">
      <c r="A607" t="s">
        <v>229</v>
      </c>
      <c r="B607" t="s">
        <v>230</v>
      </c>
      <c r="C607" s="1">
        <v>40082</v>
      </c>
      <c r="D607" t="s">
        <v>52</v>
      </c>
      <c r="E607" t="s">
        <v>103</v>
      </c>
      <c r="F607" t="s">
        <v>54</v>
      </c>
      <c r="G607" t="s">
        <v>39</v>
      </c>
      <c r="H607" t="s">
        <v>199</v>
      </c>
      <c r="J607" t="s">
        <v>231</v>
      </c>
      <c r="K607" s="2">
        <v>55</v>
      </c>
      <c r="L607">
        <v>25</v>
      </c>
      <c r="M607">
        <f t="shared" si="9"/>
        <v>1375</v>
      </c>
    </row>
    <row r="608" spans="1:13">
      <c r="A608" t="s">
        <v>229</v>
      </c>
      <c r="B608" t="s">
        <v>230</v>
      </c>
      <c r="C608" s="1">
        <v>39869</v>
      </c>
      <c r="D608" t="s">
        <v>34</v>
      </c>
      <c r="E608" t="s">
        <v>67</v>
      </c>
      <c r="F608" t="s">
        <v>35</v>
      </c>
      <c r="G608" t="s">
        <v>17</v>
      </c>
      <c r="H608" t="s">
        <v>199</v>
      </c>
      <c r="J608" t="s">
        <v>231</v>
      </c>
      <c r="K608" s="2">
        <v>8</v>
      </c>
      <c r="L608">
        <v>40</v>
      </c>
      <c r="M608">
        <f t="shared" si="9"/>
        <v>320</v>
      </c>
    </row>
    <row r="609" spans="1:13">
      <c r="A609" t="s">
        <v>229</v>
      </c>
      <c r="B609" t="s">
        <v>230</v>
      </c>
      <c r="C609" s="1">
        <v>39918</v>
      </c>
      <c r="D609" t="s">
        <v>122</v>
      </c>
      <c r="E609" t="s">
        <v>103</v>
      </c>
      <c r="F609" t="s">
        <v>31</v>
      </c>
      <c r="G609" t="s">
        <v>17</v>
      </c>
      <c r="H609" t="s">
        <v>199</v>
      </c>
      <c r="J609" t="s">
        <v>231</v>
      </c>
      <c r="K609" s="2">
        <v>14</v>
      </c>
      <c r="L609">
        <v>18</v>
      </c>
      <c r="M609">
        <f t="shared" si="9"/>
        <v>252</v>
      </c>
    </row>
    <row r="610" spans="1:13">
      <c r="A610" t="s">
        <v>229</v>
      </c>
      <c r="B610" t="s">
        <v>230</v>
      </c>
      <c r="C610" s="1">
        <v>40113</v>
      </c>
      <c r="D610" t="s">
        <v>57</v>
      </c>
      <c r="E610" t="s">
        <v>21</v>
      </c>
      <c r="F610" t="s">
        <v>58</v>
      </c>
      <c r="G610" t="s">
        <v>17</v>
      </c>
      <c r="H610" t="s">
        <v>199</v>
      </c>
      <c r="J610" t="s">
        <v>231</v>
      </c>
      <c r="K610" s="2">
        <v>19</v>
      </c>
      <c r="L610">
        <v>40</v>
      </c>
      <c r="M610">
        <f t="shared" si="9"/>
        <v>760</v>
      </c>
    </row>
    <row r="611" spans="1:13">
      <c r="A611" t="s">
        <v>229</v>
      </c>
      <c r="B611" t="s">
        <v>230</v>
      </c>
      <c r="C611" s="1">
        <v>39730</v>
      </c>
      <c r="D611" t="s">
        <v>75</v>
      </c>
      <c r="E611" t="s">
        <v>21</v>
      </c>
      <c r="F611" t="s">
        <v>76</v>
      </c>
      <c r="G611" t="s">
        <v>17</v>
      </c>
      <c r="H611" t="s">
        <v>199</v>
      </c>
      <c r="J611" t="s">
        <v>231</v>
      </c>
      <c r="K611" s="2">
        <v>27.8</v>
      </c>
      <c r="L611">
        <v>40</v>
      </c>
      <c r="M611">
        <f t="shared" si="9"/>
        <v>1112</v>
      </c>
    </row>
    <row r="612" spans="1:13">
      <c r="A612" t="s">
        <v>229</v>
      </c>
      <c r="B612" t="s">
        <v>230</v>
      </c>
      <c r="C612" s="1">
        <v>39869</v>
      </c>
      <c r="D612" t="s">
        <v>119</v>
      </c>
      <c r="E612" t="s">
        <v>67</v>
      </c>
      <c r="F612" t="s">
        <v>97</v>
      </c>
      <c r="G612" t="s">
        <v>17</v>
      </c>
      <c r="H612" t="s">
        <v>199</v>
      </c>
      <c r="J612" t="s">
        <v>231</v>
      </c>
      <c r="K612" s="2">
        <v>16</v>
      </c>
      <c r="L612">
        <v>21</v>
      </c>
      <c r="M612">
        <f t="shared" si="9"/>
        <v>336</v>
      </c>
    </row>
    <row r="613" spans="1:13">
      <c r="A613" t="s">
        <v>232</v>
      </c>
      <c r="B613" t="s">
        <v>233</v>
      </c>
      <c r="C613" s="1">
        <v>39834</v>
      </c>
      <c r="D613" t="s">
        <v>116</v>
      </c>
      <c r="E613" t="s">
        <v>15</v>
      </c>
      <c r="F613" t="s">
        <v>22</v>
      </c>
      <c r="G613" t="s">
        <v>17</v>
      </c>
      <c r="H613" t="s">
        <v>158</v>
      </c>
      <c r="I613" t="s">
        <v>163</v>
      </c>
      <c r="J613" t="s">
        <v>234</v>
      </c>
      <c r="K613" s="2">
        <v>12</v>
      </c>
      <c r="L613">
        <v>8</v>
      </c>
      <c r="M613">
        <f t="shared" si="9"/>
        <v>96</v>
      </c>
    </row>
    <row r="614" spans="1:13">
      <c r="A614" t="s">
        <v>232</v>
      </c>
      <c r="B614" t="s">
        <v>233</v>
      </c>
      <c r="C614" s="1">
        <v>40050</v>
      </c>
      <c r="D614" t="s">
        <v>42</v>
      </c>
      <c r="E614" t="s">
        <v>15</v>
      </c>
      <c r="F614" t="s">
        <v>22</v>
      </c>
      <c r="G614" t="s">
        <v>17</v>
      </c>
      <c r="H614" t="s">
        <v>158</v>
      </c>
      <c r="I614" t="s">
        <v>163</v>
      </c>
      <c r="J614" t="s">
        <v>234</v>
      </c>
      <c r="K614" s="2">
        <v>62.5</v>
      </c>
      <c r="L614">
        <v>4</v>
      </c>
      <c r="M614">
        <f t="shared" si="9"/>
        <v>250</v>
      </c>
    </row>
    <row r="615" spans="1:13">
      <c r="A615" t="s">
        <v>232</v>
      </c>
      <c r="B615" t="s">
        <v>233</v>
      </c>
      <c r="C615" s="1">
        <v>39995</v>
      </c>
      <c r="D615" t="s">
        <v>170</v>
      </c>
      <c r="E615" t="s">
        <v>50</v>
      </c>
      <c r="F615" t="s">
        <v>101</v>
      </c>
      <c r="G615" t="s">
        <v>17</v>
      </c>
      <c r="H615" t="s">
        <v>158</v>
      </c>
      <c r="I615" t="s">
        <v>163</v>
      </c>
      <c r="J615" t="s">
        <v>234</v>
      </c>
      <c r="K615" s="2">
        <v>9.5</v>
      </c>
      <c r="L615">
        <v>15</v>
      </c>
      <c r="M615">
        <f t="shared" si="9"/>
        <v>142.5</v>
      </c>
    </row>
    <row r="616" spans="1:13">
      <c r="A616" t="s">
        <v>232</v>
      </c>
      <c r="B616" t="s">
        <v>233</v>
      </c>
      <c r="C616" s="1">
        <v>39834</v>
      </c>
      <c r="D616" t="s">
        <v>65</v>
      </c>
      <c r="E616" t="s">
        <v>15</v>
      </c>
      <c r="F616" t="s">
        <v>58</v>
      </c>
      <c r="G616" t="s">
        <v>17</v>
      </c>
      <c r="H616" t="s">
        <v>158</v>
      </c>
      <c r="I616" t="s">
        <v>163</v>
      </c>
      <c r="J616" t="s">
        <v>234</v>
      </c>
      <c r="K616" s="2">
        <v>12</v>
      </c>
      <c r="L616">
        <v>20</v>
      </c>
      <c r="M616">
        <f t="shared" si="9"/>
        <v>240</v>
      </c>
    </row>
    <row r="617" spans="1:13">
      <c r="A617" t="s">
        <v>232</v>
      </c>
      <c r="B617" t="s">
        <v>233</v>
      </c>
      <c r="C617" s="1">
        <v>39834</v>
      </c>
      <c r="D617" t="s">
        <v>124</v>
      </c>
      <c r="E617" t="s">
        <v>15</v>
      </c>
      <c r="F617" t="s">
        <v>125</v>
      </c>
      <c r="G617" t="s">
        <v>17</v>
      </c>
      <c r="H617" t="s">
        <v>158</v>
      </c>
      <c r="I617" t="s">
        <v>163</v>
      </c>
      <c r="J617" t="s">
        <v>234</v>
      </c>
      <c r="K617" s="2">
        <v>4.8</v>
      </c>
      <c r="L617">
        <v>2</v>
      </c>
      <c r="M617">
        <f t="shared" si="9"/>
        <v>9.6</v>
      </c>
    </row>
    <row r="618" spans="1:13">
      <c r="A618" t="s">
        <v>232</v>
      </c>
      <c r="B618" t="s">
        <v>233</v>
      </c>
      <c r="C618" s="1">
        <v>39834</v>
      </c>
      <c r="D618" t="s">
        <v>46</v>
      </c>
      <c r="E618" t="s">
        <v>15</v>
      </c>
      <c r="F618" t="s">
        <v>47</v>
      </c>
      <c r="G618" t="s">
        <v>17</v>
      </c>
      <c r="H618" t="s">
        <v>158</v>
      </c>
      <c r="I618" t="s">
        <v>163</v>
      </c>
      <c r="J618" t="s">
        <v>234</v>
      </c>
      <c r="K618" s="2">
        <v>77.599999999999994</v>
      </c>
      <c r="L618">
        <v>20</v>
      </c>
      <c r="M618">
        <f t="shared" si="9"/>
        <v>1552</v>
      </c>
    </row>
    <row r="619" spans="1:13">
      <c r="A619" t="s">
        <v>232</v>
      </c>
      <c r="B619" t="s">
        <v>233</v>
      </c>
      <c r="C619" s="1">
        <v>40086</v>
      </c>
      <c r="D619" t="s">
        <v>52</v>
      </c>
      <c r="E619" t="s">
        <v>24</v>
      </c>
      <c r="F619" t="s">
        <v>54</v>
      </c>
      <c r="G619" t="s">
        <v>39</v>
      </c>
      <c r="H619" t="s">
        <v>158</v>
      </c>
      <c r="I619" t="s">
        <v>163</v>
      </c>
      <c r="J619" t="s">
        <v>234</v>
      </c>
      <c r="K619" s="2">
        <v>55</v>
      </c>
      <c r="L619">
        <v>15</v>
      </c>
      <c r="M619">
        <f t="shared" si="9"/>
        <v>825</v>
      </c>
    </row>
    <row r="620" spans="1:13">
      <c r="A620" t="s">
        <v>232</v>
      </c>
      <c r="B620" t="s">
        <v>233</v>
      </c>
      <c r="C620" s="1">
        <v>40050</v>
      </c>
      <c r="D620" t="s">
        <v>70</v>
      </c>
      <c r="E620" t="s">
        <v>15</v>
      </c>
      <c r="F620" t="s">
        <v>61</v>
      </c>
      <c r="G620" t="s">
        <v>17</v>
      </c>
      <c r="H620" t="s">
        <v>158</v>
      </c>
      <c r="I620" t="s">
        <v>163</v>
      </c>
      <c r="J620" t="s">
        <v>234</v>
      </c>
      <c r="K620" s="2">
        <v>12</v>
      </c>
      <c r="L620">
        <v>21</v>
      </c>
      <c r="M620">
        <f t="shared" si="9"/>
        <v>252</v>
      </c>
    </row>
    <row r="621" spans="1:13">
      <c r="A621" t="s">
        <v>232</v>
      </c>
      <c r="B621" t="s">
        <v>233</v>
      </c>
      <c r="C621" s="1">
        <v>39448</v>
      </c>
      <c r="D621" t="s">
        <v>120</v>
      </c>
      <c r="E621" t="s">
        <v>50</v>
      </c>
      <c r="F621" t="s">
        <v>33</v>
      </c>
      <c r="G621" t="s">
        <v>39</v>
      </c>
      <c r="H621" t="s">
        <v>158</v>
      </c>
      <c r="I621" t="s">
        <v>163</v>
      </c>
      <c r="J621" t="s">
        <v>234</v>
      </c>
      <c r="K621" s="2">
        <v>7</v>
      </c>
      <c r="L621">
        <v>20</v>
      </c>
      <c r="M621">
        <f t="shared" si="9"/>
        <v>140</v>
      </c>
    </row>
    <row r="622" spans="1:13">
      <c r="A622" t="s">
        <v>232</v>
      </c>
      <c r="B622" t="s">
        <v>233</v>
      </c>
      <c r="C622" s="1">
        <v>39644</v>
      </c>
      <c r="D622" t="s">
        <v>32</v>
      </c>
      <c r="E622" t="s">
        <v>15</v>
      </c>
      <c r="F622" t="s">
        <v>33</v>
      </c>
      <c r="G622" t="s">
        <v>17</v>
      </c>
      <c r="H622" t="s">
        <v>158</v>
      </c>
      <c r="I622" t="s">
        <v>163</v>
      </c>
      <c r="J622" t="s">
        <v>234</v>
      </c>
      <c r="K622" s="2">
        <v>26.2</v>
      </c>
      <c r="L622">
        <v>15</v>
      </c>
      <c r="M622">
        <f t="shared" si="9"/>
        <v>393</v>
      </c>
    </row>
    <row r="623" spans="1:13">
      <c r="A623" t="s">
        <v>232</v>
      </c>
      <c r="B623" t="s">
        <v>233</v>
      </c>
      <c r="C623" s="1">
        <v>39644</v>
      </c>
      <c r="D623" t="s">
        <v>49</v>
      </c>
      <c r="E623" t="s">
        <v>15</v>
      </c>
      <c r="F623" t="s">
        <v>51</v>
      </c>
      <c r="G623" t="s">
        <v>17</v>
      </c>
      <c r="H623" t="s">
        <v>158</v>
      </c>
      <c r="I623" t="s">
        <v>163</v>
      </c>
      <c r="J623" t="s">
        <v>234</v>
      </c>
      <c r="K623" s="2">
        <v>10.4</v>
      </c>
      <c r="L623">
        <v>12</v>
      </c>
      <c r="M623">
        <f t="shared" si="9"/>
        <v>124.80000000000001</v>
      </c>
    </row>
    <row r="624" spans="1:13">
      <c r="A624" t="s">
        <v>232</v>
      </c>
      <c r="B624" t="s">
        <v>233</v>
      </c>
      <c r="C624" s="1">
        <v>40086</v>
      </c>
      <c r="D624" t="s">
        <v>64</v>
      </c>
      <c r="E624" t="s">
        <v>24</v>
      </c>
      <c r="F624" t="s">
        <v>35</v>
      </c>
      <c r="G624" t="s">
        <v>39</v>
      </c>
      <c r="H624" t="s">
        <v>158</v>
      </c>
      <c r="I624" t="s">
        <v>163</v>
      </c>
      <c r="J624" t="s">
        <v>234</v>
      </c>
      <c r="K624" s="2">
        <v>9.1999999999999993</v>
      </c>
      <c r="L624">
        <v>24</v>
      </c>
      <c r="M624">
        <f t="shared" si="9"/>
        <v>220.79999999999998</v>
      </c>
    </row>
    <row r="625" spans="1:13">
      <c r="A625" t="s">
        <v>232</v>
      </c>
      <c r="B625" t="s">
        <v>233</v>
      </c>
      <c r="C625" s="1">
        <v>39502</v>
      </c>
      <c r="D625" t="s">
        <v>111</v>
      </c>
      <c r="E625" t="s">
        <v>103</v>
      </c>
      <c r="F625" t="s">
        <v>37</v>
      </c>
      <c r="G625" t="s">
        <v>39</v>
      </c>
      <c r="H625" t="s">
        <v>158</v>
      </c>
      <c r="I625" t="s">
        <v>163</v>
      </c>
      <c r="J625" t="s">
        <v>234</v>
      </c>
      <c r="K625" s="2">
        <v>18</v>
      </c>
      <c r="L625">
        <v>20</v>
      </c>
      <c r="M625">
        <f t="shared" si="9"/>
        <v>360</v>
      </c>
    </row>
    <row r="626" spans="1:13">
      <c r="A626" t="s">
        <v>232</v>
      </c>
      <c r="B626" t="s">
        <v>233</v>
      </c>
      <c r="C626" s="1">
        <v>39498</v>
      </c>
      <c r="D626" t="s">
        <v>116</v>
      </c>
      <c r="E626" t="s">
        <v>21</v>
      </c>
      <c r="F626" t="s">
        <v>22</v>
      </c>
      <c r="G626" t="s">
        <v>39</v>
      </c>
      <c r="H626" t="s">
        <v>158</v>
      </c>
      <c r="I626" t="s">
        <v>163</v>
      </c>
      <c r="J626" t="s">
        <v>234</v>
      </c>
      <c r="K626" s="2">
        <v>15</v>
      </c>
      <c r="L626">
        <v>3</v>
      </c>
      <c r="M626">
        <f t="shared" si="9"/>
        <v>45</v>
      </c>
    </row>
    <row r="627" spans="1:13">
      <c r="A627" t="s">
        <v>232</v>
      </c>
      <c r="B627" t="s">
        <v>233</v>
      </c>
      <c r="C627" s="1">
        <v>39516</v>
      </c>
      <c r="D627" t="s">
        <v>42</v>
      </c>
      <c r="E627" t="s">
        <v>24</v>
      </c>
      <c r="F627" t="s">
        <v>22</v>
      </c>
      <c r="G627" t="s">
        <v>39</v>
      </c>
      <c r="H627" t="s">
        <v>158</v>
      </c>
      <c r="I627" t="s">
        <v>163</v>
      </c>
      <c r="J627" t="s">
        <v>234</v>
      </c>
      <c r="K627" s="2">
        <v>62.5</v>
      </c>
      <c r="L627">
        <v>4</v>
      </c>
      <c r="M627">
        <f t="shared" si="9"/>
        <v>250</v>
      </c>
    </row>
    <row r="628" spans="1:13">
      <c r="A628" t="s">
        <v>232</v>
      </c>
      <c r="B628" t="s">
        <v>233</v>
      </c>
      <c r="C628" s="1">
        <v>40086</v>
      </c>
      <c r="D628" t="s">
        <v>122</v>
      </c>
      <c r="E628" t="s">
        <v>24</v>
      </c>
      <c r="F628" t="s">
        <v>31</v>
      </c>
      <c r="G628" t="s">
        <v>39</v>
      </c>
      <c r="H628" t="s">
        <v>158</v>
      </c>
      <c r="I628" t="s">
        <v>163</v>
      </c>
      <c r="J628" t="s">
        <v>234</v>
      </c>
      <c r="K628" s="2">
        <v>14</v>
      </c>
      <c r="L628">
        <v>15</v>
      </c>
      <c r="M628">
        <f t="shared" si="9"/>
        <v>210</v>
      </c>
    </row>
    <row r="629" spans="1:13">
      <c r="A629" t="s">
        <v>232</v>
      </c>
      <c r="B629" t="s">
        <v>233</v>
      </c>
      <c r="C629" s="1">
        <v>39516</v>
      </c>
      <c r="D629" t="s">
        <v>130</v>
      </c>
      <c r="E629" t="s">
        <v>24</v>
      </c>
      <c r="F629" t="s">
        <v>118</v>
      </c>
      <c r="G629" t="s">
        <v>39</v>
      </c>
      <c r="H629" t="s">
        <v>158</v>
      </c>
      <c r="I629" t="s">
        <v>163</v>
      </c>
      <c r="J629" t="s">
        <v>234</v>
      </c>
      <c r="K629" s="2">
        <v>9</v>
      </c>
      <c r="L629">
        <v>8</v>
      </c>
      <c r="M629">
        <f t="shared" si="9"/>
        <v>72</v>
      </c>
    </row>
    <row r="630" spans="1:13">
      <c r="A630" t="s">
        <v>232</v>
      </c>
      <c r="B630" t="s">
        <v>233</v>
      </c>
      <c r="C630" s="1">
        <v>39516</v>
      </c>
      <c r="D630" t="s">
        <v>111</v>
      </c>
      <c r="E630" t="s">
        <v>24</v>
      </c>
      <c r="F630" t="s">
        <v>37</v>
      </c>
      <c r="G630" t="s">
        <v>39</v>
      </c>
      <c r="H630" t="s">
        <v>158</v>
      </c>
      <c r="I630" t="s">
        <v>163</v>
      </c>
      <c r="J630" t="s">
        <v>234</v>
      </c>
      <c r="K630" s="2">
        <v>18</v>
      </c>
      <c r="L630">
        <v>21</v>
      </c>
      <c r="M630">
        <f t="shared" si="9"/>
        <v>378</v>
      </c>
    </row>
    <row r="631" spans="1:13">
      <c r="A631" t="s">
        <v>232</v>
      </c>
      <c r="B631" t="s">
        <v>233</v>
      </c>
      <c r="C631" s="1">
        <v>40050</v>
      </c>
      <c r="D631" t="s">
        <v>94</v>
      </c>
      <c r="E631" t="s">
        <v>15</v>
      </c>
      <c r="F631" t="s">
        <v>74</v>
      </c>
      <c r="G631" t="s">
        <v>17</v>
      </c>
      <c r="H631" t="s">
        <v>158</v>
      </c>
      <c r="I631" t="s">
        <v>163</v>
      </c>
      <c r="J631" t="s">
        <v>234</v>
      </c>
      <c r="K631" s="2">
        <v>46</v>
      </c>
      <c r="L631">
        <v>20</v>
      </c>
      <c r="M631">
        <f t="shared" si="9"/>
        <v>920</v>
      </c>
    </row>
    <row r="632" spans="1:13">
      <c r="A632" t="s">
        <v>235</v>
      </c>
      <c r="B632" t="s">
        <v>236</v>
      </c>
      <c r="C632" s="1">
        <v>39538</v>
      </c>
      <c r="D632" t="s">
        <v>133</v>
      </c>
      <c r="E632" t="s">
        <v>53</v>
      </c>
      <c r="F632" t="s">
        <v>134</v>
      </c>
      <c r="G632" t="s">
        <v>39</v>
      </c>
      <c r="H632" t="s">
        <v>106</v>
      </c>
      <c r="I632" t="s">
        <v>190</v>
      </c>
      <c r="J632" t="s">
        <v>223</v>
      </c>
      <c r="K632" s="2">
        <v>9.65</v>
      </c>
      <c r="L632">
        <v>4</v>
      </c>
      <c r="M632">
        <f t="shared" si="9"/>
        <v>38.6</v>
      </c>
    </row>
    <row r="633" spans="1:13">
      <c r="A633" t="s">
        <v>235</v>
      </c>
      <c r="B633" t="s">
        <v>236</v>
      </c>
      <c r="C633" s="1">
        <v>39834</v>
      </c>
      <c r="D633" t="s">
        <v>49</v>
      </c>
      <c r="E633" t="s">
        <v>67</v>
      </c>
      <c r="F633" t="s">
        <v>51</v>
      </c>
      <c r="G633" t="s">
        <v>17</v>
      </c>
      <c r="H633" t="s">
        <v>106</v>
      </c>
      <c r="I633" t="s">
        <v>190</v>
      </c>
      <c r="J633" t="s">
        <v>223</v>
      </c>
      <c r="K633" s="2">
        <v>10.4</v>
      </c>
      <c r="L633">
        <v>10</v>
      </c>
      <c r="M633">
        <f t="shared" si="9"/>
        <v>104</v>
      </c>
    </row>
    <row r="634" spans="1:13">
      <c r="A634" t="s">
        <v>235</v>
      </c>
      <c r="B634" t="s">
        <v>236</v>
      </c>
      <c r="C634" s="1">
        <v>39648</v>
      </c>
      <c r="D634" t="s">
        <v>34</v>
      </c>
      <c r="E634" t="s">
        <v>24</v>
      </c>
      <c r="F634" t="s">
        <v>35</v>
      </c>
      <c r="G634" t="s">
        <v>17</v>
      </c>
      <c r="H634" t="s">
        <v>106</v>
      </c>
      <c r="I634" t="s">
        <v>190</v>
      </c>
      <c r="J634" t="s">
        <v>223</v>
      </c>
      <c r="K634" s="2">
        <v>8</v>
      </c>
      <c r="L634">
        <v>20</v>
      </c>
      <c r="M634">
        <f t="shared" si="9"/>
        <v>160</v>
      </c>
    </row>
    <row r="635" spans="1:13">
      <c r="A635" t="s">
        <v>235</v>
      </c>
      <c r="B635" t="s">
        <v>236</v>
      </c>
      <c r="C635" s="1">
        <v>39834</v>
      </c>
      <c r="D635" t="s">
        <v>32</v>
      </c>
      <c r="E635" t="s">
        <v>67</v>
      </c>
      <c r="F635" t="s">
        <v>33</v>
      </c>
      <c r="G635" t="s">
        <v>17</v>
      </c>
      <c r="H635" t="s">
        <v>106</v>
      </c>
      <c r="I635" t="s">
        <v>190</v>
      </c>
      <c r="J635" t="s">
        <v>223</v>
      </c>
      <c r="K635" s="2">
        <v>26.2</v>
      </c>
      <c r="L635">
        <v>15</v>
      </c>
      <c r="M635">
        <f t="shared" si="9"/>
        <v>393</v>
      </c>
    </row>
    <row r="636" spans="1:13">
      <c r="A636" t="s">
        <v>235</v>
      </c>
      <c r="B636" t="s">
        <v>236</v>
      </c>
      <c r="C636" s="1">
        <v>39834</v>
      </c>
      <c r="D636" t="s">
        <v>30</v>
      </c>
      <c r="E636" t="s">
        <v>67</v>
      </c>
      <c r="F636" t="s">
        <v>31</v>
      </c>
      <c r="G636" t="s">
        <v>17</v>
      </c>
      <c r="H636" t="s">
        <v>106</v>
      </c>
      <c r="I636" t="s">
        <v>190</v>
      </c>
      <c r="J636" t="s">
        <v>223</v>
      </c>
      <c r="K636" s="2">
        <v>24.9</v>
      </c>
      <c r="L636">
        <v>30</v>
      </c>
      <c r="M636">
        <f t="shared" si="9"/>
        <v>747</v>
      </c>
    </row>
    <row r="637" spans="1:13">
      <c r="A637" t="s">
        <v>235</v>
      </c>
      <c r="B637" t="s">
        <v>236</v>
      </c>
      <c r="C637" s="1">
        <v>40052</v>
      </c>
      <c r="D637" t="s">
        <v>109</v>
      </c>
      <c r="E637" t="s">
        <v>24</v>
      </c>
      <c r="F637" t="s">
        <v>56</v>
      </c>
      <c r="G637" t="s">
        <v>17</v>
      </c>
      <c r="H637" t="s">
        <v>106</v>
      </c>
      <c r="I637" t="s">
        <v>190</v>
      </c>
      <c r="J637" t="s">
        <v>223</v>
      </c>
      <c r="K637" s="2">
        <v>18</v>
      </c>
      <c r="L637">
        <v>20</v>
      </c>
      <c r="M637">
        <f t="shared" si="9"/>
        <v>360</v>
      </c>
    </row>
    <row r="638" spans="1:13">
      <c r="A638" t="s">
        <v>235</v>
      </c>
      <c r="B638" t="s">
        <v>236</v>
      </c>
      <c r="C638" s="1">
        <v>39538</v>
      </c>
      <c r="D638" t="s">
        <v>131</v>
      </c>
      <c r="E638" t="s">
        <v>53</v>
      </c>
      <c r="F638" t="s">
        <v>132</v>
      </c>
      <c r="G638" t="s">
        <v>39</v>
      </c>
      <c r="H638" t="s">
        <v>106</v>
      </c>
      <c r="I638" t="s">
        <v>190</v>
      </c>
      <c r="J638" t="s">
        <v>223</v>
      </c>
      <c r="K638" s="2">
        <v>21</v>
      </c>
      <c r="L638">
        <v>15</v>
      </c>
      <c r="M638">
        <f t="shared" si="9"/>
        <v>315</v>
      </c>
    </row>
    <row r="639" spans="1:13">
      <c r="A639" t="s">
        <v>235</v>
      </c>
      <c r="B639" t="s">
        <v>236</v>
      </c>
      <c r="C639" s="1">
        <v>39538</v>
      </c>
      <c r="D639" t="s">
        <v>155</v>
      </c>
      <c r="E639" t="s">
        <v>53</v>
      </c>
      <c r="F639" t="s">
        <v>25</v>
      </c>
      <c r="G639" t="s">
        <v>39</v>
      </c>
      <c r="H639" t="s">
        <v>106</v>
      </c>
      <c r="I639" t="s">
        <v>190</v>
      </c>
      <c r="J639" t="s">
        <v>223</v>
      </c>
      <c r="K639" s="2">
        <v>25</v>
      </c>
      <c r="L639">
        <v>40</v>
      </c>
      <c r="M639">
        <f t="shared" si="9"/>
        <v>1000</v>
      </c>
    </row>
    <row r="640" spans="1:13">
      <c r="A640" t="s">
        <v>235</v>
      </c>
      <c r="B640" t="s">
        <v>236</v>
      </c>
      <c r="C640" s="1">
        <v>39834</v>
      </c>
      <c r="D640" t="s">
        <v>64</v>
      </c>
      <c r="E640" t="s">
        <v>67</v>
      </c>
      <c r="F640" t="s">
        <v>35</v>
      </c>
      <c r="G640" t="s">
        <v>17</v>
      </c>
      <c r="H640" t="s">
        <v>106</v>
      </c>
      <c r="I640" t="s">
        <v>190</v>
      </c>
      <c r="J640" t="s">
        <v>223</v>
      </c>
      <c r="K640" s="2">
        <v>7.3</v>
      </c>
      <c r="L640">
        <v>4</v>
      </c>
      <c r="M640">
        <f t="shared" si="9"/>
        <v>29.2</v>
      </c>
    </row>
    <row r="641" spans="1:13">
      <c r="A641" t="s">
        <v>235</v>
      </c>
      <c r="B641" t="s">
        <v>236</v>
      </c>
      <c r="C641" s="1">
        <v>39996</v>
      </c>
      <c r="D641" t="s">
        <v>44</v>
      </c>
      <c r="E641" t="s">
        <v>21</v>
      </c>
      <c r="F641" t="s">
        <v>45</v>
      </c>
      <c r="G641" t="s">
        <v>17</v>
      </c>
      <c r="H641" t="s">
        <v>106</v>
      </c>
      <c r="I641" t="s">
        <v>190</v>
      </c>
      <c r="J641" t="s">
        <v>223</v>
      </c>
      <c r="K641" s="2">
        <v>18</v>
      </c>
      <c r="L641">
        <v>20</v>
      </c>
      <c r="M641">
        <f t="shared" si="9"/>
        <v>360</v>
      </c>
    </row>
    <row r="642" spans="1:13">
      <c r="A642" t="s">
        <v>235</v>
      </c>
      <c r="B642" t="s">
        <v>236</v>
      </c>
      <c r="C642" s="1">
        <v>40080</v>
      </c>
      <c r="D642" t="s">
        <v>153</v>
      </c>
      <c r="E642" t="s">
        <v>89</v>
      </c>
      <c r="F642" t="s">
        <v>125</v>
      </c>
      <c r="G642" t="s">
        <v>39</v>
      </c>
      <c r="H642" t="s">
        <v>106</v>
      </c>
      <c r="I642" t="s">
        <v>190</v>
      </c>
      <c r="J642" t="s">
        <v>223</v>
      </c>
      <c r="K642" s="2">
        <v>23.25</v>
      </c>
      <c r="L642">
        <v>15</v>
      </c>
      <c r="M642">
        <f t="shared" si="9"/>
        <v>348.75</v>
      </c>
    </row>
    <row r="643" spans="1:13">
      <c r="A643" t="s">
        <v>235</v>
      </c>
      <c r="B643" t="s">
        <v>236</v>
      </c>
      <c r="C643" s="1">
        <v>39996</v>
      </c>
      <c r="D643" t="s">
        <v>30</v>
      </c>
      <c r="E643" t="s">
        <v>21</v>
      </c>
      <c r="F643" t="s">
        <v>31</v>
      </c>
      <c r="G643" t="s">
        <v>17</v>
      </c>
      <c r="H643" t="s">
        <v>106</v>
      </c>
      <c r="I643" t="s">
        <v>190</v>
      </c>
      <c r="J643" t="s">
        <v>223</v>
      </c>
      <c r="K643" s="2">
        <v>31.23</v>
      </c>
      <c r="L643">
        <v>6</v>
      </c>
      <c r="M643">
        <f t="shared" ref="M643:M706" si="10">K643*L643</f>
        <v>187.38</v>
      </c>
    </row>
    <row r="644" spans="1:13">
      <c r="A644" t="s">
        <v>235</v>
      </c>
      <c r="B644" t="s">
        <v>236</v>
      </c>
      <c r="C644" s="1">
        <v>39648</v>
      </c>
      <c r="D644" t="s">
        <v>44</v>
      </c>
      <c r="E644" t="s">
        <v>24</v>
      </c>
      <c r="F644" t="s">
        <v>45</v>
      </c>
      <c r="G644" t="s">
        <v>17</v>
      </c>
      <c r="H644" t="s">
        <v>106</v>
      </c>
      <c r="I644" t="s">
        <v>190</v>
      </c>
      <c r="J644" t="s">
        <v>223</v>
      </c>
      <c r="K644" s="2">
        <v>14.4</v>
      </c>
      <c r="L644">
        <v>20</v>
      </c>
      <c r="M644">
        <f t="shared" si="10"/>
        <v>288</v>
      </c>
    </row>
    <row r="645" spans="1:13">
      <c r="A645" t="s">
        <v>235</v>
      </c>
      <c r="B645" t="s">
        <v>236</v>
      </c>
      <c r="C645" s="1">
        <v>39996</v>
      </c>
      <c r="D645" t="s">
        <v>49</v>
      </c>
      <c r="E645" t="s">
        <v>21</v>
      </c>
      <c r="F645" t="s">
        <v>51</v>
      </c>
      <c r="G645" t="s">
        <v>17</v>
      </c>
      <c r="H645" t="s">
        <v>106</v>
      </c>
      <c r="I645" t="s">
        <v>190</v>
      </c>
      <c r="J645" t="s">
        <v>223</v>
      </c>
      <c r="K645" s="2">
        <v>13</v>
      </c>
      <c r="L645">
        <v>20</v>
      </c>
      <c r="M645">
        <f t="shared" si="10"/>
        <v>260</v>
      </c>
    </row>
    <row r="646" spans="1:13">
      <c r="A646" t="s">
        <v>235</v>
      </c>
      <c r="B646" t="s">
        <v>236</v>
      </c>
      <c r="C646" s="1">
        <v>39701</v>
      </c>
      <c r="D646" t="s">
        <v>72</v>
      </c>
      <c r="E646" t="s">
        <v>53</v>
      </c>
      <c r="F646" t="s">
        <v>22</v>
      </c>
      <c r="G646" t="s">
        <v>17</v>
      </c>
      <c r="H646" t="s">
        <v>106</v>
      </c>
      <c r="I646" t="s">
        <v>190</v>
      </c>
      <c r="J646" t="s">
        <v>223</v>
      </c>
      <c r="K646" s="2">
        <v>35.1</v>
      </c>
      <c r="L646">
        <v>16</v>
      </c>
      <c r="M646">
        <f t="shared" si="10"/>
        <v>561.6</v>
      </c>
    </row>
    <row r="647" spans="1:13">
      <c r="A647" t="s">
        <v>235</v>
      </c>
      <c r="B647" t="s">
        <v>236</v>
      </c>
      <c r="C647" s="1">
        <v>40052</v>
      </c>
      <c r="D647" t="s">
        <v>64</v>
      </c>
      <c r="E647" t="s">
        <v>24</v>
      </c>
      <c r="F647" t="s">
        <v>35</v>
      </c>
      <c r="G647" t="s">
        <v>17</v>
      </c>
      <c r="H647" t="s">
        <v>106</v>
      </c>
      <c r="I647" t="s">
        <v>190</v>
      </c>
      <c r="J647" t="s">
        <v>223</v>
      </c>
      <c r="K647" s="2">
        <v>9.1999999999999993</v>
      </c>
      <c r="L647">
        <v>30</v>
      </c>
      <c r="M647">
        <f t="shared" si="10"/>
        <v>276</v>
      </c>
    </row>
    <row r="648" spans="1:13">
      <c r="A648" t="s">
        <v>235</v>
      </c>
      <c r="B648" t="s">
        <v>236</v>
      </c>
      <c r="C648" s="1">
        <v>39701</v>
      </c>
      <c r="D648" t="s">
        <v>95</v>
      </c>
      <c r="E648" t="s">
        <v>53</v>
      </c>
      <c r="F648" t="s">
        <v>27</v>
      </c>
      <c r="G648" t="s">
        <v>17</v>
      </c>
      <c r="H648" t="s">
        <v>106</v>
      </c>
      <c r="I648" t="s">
        <v>190</v>
      </c>
      <c r="J648" t="s">
        <v>223</v>
      </c>
      <c r="K648" s="2">
        <v>16.8</v>
      </c>
      <c r="L648">
        <v>20</v>
      </c>
      <c r="M648">
        <f t="shared" si="10"/>
        <v>336</v>
      </c>
    </row>
    <row r="649" spans="1:13">
      <c r="A649" t="s">
        <v>235</v>
      </c>
      <c r="B649" t="s">
        <v>236</v>
      </c>
      <c r="C649" s="1">
        <v>40114</v>
      </c>
      <c r="D649" t="s">
        <v>121</v>
      </c>
      <c r="E649" t="s">
        <v>67</v>
      </c>
      <c r="F649" t="s">
        <v>41</v>
      </c>
      <c r="G649" t="s">
        <v>17</v>
      </c>
      <c r="H649" t="s">
        <v>106</v>
      </c>
      <c r="I649" t="s">
        <v>190</v>
      </c>
      <c r="J649" t="s">
        <v>223</v>
      </c>
      <c r="K649" s="2">
        <v>21.5</v>
      </c>
      <c r="L649">
        <v>8</v>
      </c>
      <c r="M649">
        <f t="shared" si="10"/>
        <v>172</v>
      </c>
    </row>
    <row r="650" spans="1:13">
      <c r="A650" t="s">
        <v>235</v>
      </c>
      <c r="B650" t="s">
        <v>236</v>
      </c>
      <c r="C650" s="1">
        <v>39687</v>
      </c>
      <c r="D650" t="s">
        <v>85</v>
      </c>
      <c r="E650" t="s">
        <v>89</v>
      </c>
      <c r="F650" t="s">
        <v>33</v>
      </c>
      <c r="G650" t="s">
        <v>17</v>
      </c>
      <c r="H650" t="s">
        <v>106</v>
      </c>
      <c r="I650" t="s">
        <v>190</v>
      </c>
      <c r="J650" t="s">
        <v>223</v>
      </c>
      <c r="K650" s="2">
        <v>42.4</v>
      </c>
      <c r="L650">
        <v>2</v>
      </c>
      <c r="M650">
        <f t="shared" si="10"/>
        <v>84.8</v>
      </c>
    </row>
    <row r="651" spans="1:13">
      <c r="A651" t="s">
        <v>235</v>
      </c>
      <c r="B651" t="s">
        <v>236</v>
      </c>
      <c r="C651" s="1">
        <v>39687</v>
      </c>
      <c r="D651" t="s">
        <v>73</v>
      </c>
      <c r="E651" t="s">
        <v>89</v>
      </c>
      <c r="F651" t="s">
        <v>74</v>
      </c>
      <c r="G651" t="s">
        <v>17</v>
      </c>
      <c r="H651" t="s">
        <v>106</v>
      </c>
      <c r="I651" t="s">
        <v>190</v>
      </c>
      <c r="J651" t="s">
        <v>223</v>
      </c>
      <c r="K651" s="2">
        <v>15.5</v>
      </c>
      <c r="L651">
        <v>24</v>
      </c>
      <c r="M651">
        <f t="shared" si="10"/>
        <v>372</v>
      </c>
    </row>
    <row r="652" spans="1:13">
      <c r="A652" t="s">
        <v>235</v>
      </c>
      <c r="B652" t="s">
        <v>236</v>
      </c>
      <c r="C652" s="1">
        <v>39687</v>
      </c>
      <c r="D652" t="s">
        <v>124</v>
      </c>
      <c r="E652" t="s">
        <v>89</v>
      </c>
      <c r="F652" t="s">
        <v>125</v>
      </c>
      <c r="G652" t="s">
        <v>17</v>
      </c>
      <c r="H652" t="s">
        <v>106</v>
      </c>
      <c r="I652" t="s">
        <v>190</v>
      </c>
      <c r="J652" t="s">
        <v>223</v>
      </c>
      <c r="K652" s="2">
        <v>4.8</v>
      </c>
      <c r="L652">
        <v>20</v>
      </c>
      <c r="M652">
        <f t="shared" si="10"/>
        <v>96</v>
      </c>
    </row>
    <row r="653" spans="1:13">
      <c r="A653" t="s">
        <v>235</v>
      </c>
      <c r="B653" t="s">
        <v>236</v>
      </c>
      <c r="C653" s="1">
        <v>40080</v>
      </c>
      <c r="D653" t="s">
        <v>14</v>
      </c>
      <c r="E653" t="s">
        <v>89</v>
      </c>
      <c r="F653" t="s">
        <v>16</v>
      </c>
      <c r="G653" t="s">
        <v>39</v>
      </c>
      <c r="H653" t="s">
        <v>106</v>
      </c>
      <c r="I653" t="s">
        <v>190</v>
      </c>
      <c r="J653" t="s">
        <v>223</v>
      </c>
      <c r="K653" s="2">
        <v>7.45</v>
      </c>
      <c r="L653">
        <v>6</v>
      </c>
      <c r="M653">
        <f t="shared" si="10"/>
        <v>44.7</v>
      </c>
    </row>
    <row r="654" spans="1:13">
      <c r="A654" t="s">
        <v>235</v>
      </c>
      <c r="B654" t="s">
        <v>236</v>
      </c>
      <c r="C654" s="1">
        <v>39701</v>
      </c>
      <c r="D654" t="s">
        <v>133</v>
      </c>
      <c r="E654" t="s">
        <v>53</v>
      </c>
      <c r="F654" t="s">
        <v>134</v>
      </c>
      <c r="G654" t="s">
        <v>17</v>
      </c>
      <c r="H654" t="s">
        <v>106</v>
      </c>
      <c r="I654" t="s">
        <v>190</v>
      </c>
      <c r="J654" t="s">
        <v>223</v>
      </c>
      <c r="K654" s="2">
        <v>7.7</v>
      </c>
      <c r="L654">
        <v>8</v>
      </c>
      <c r="M654">
        <f t="shared" si="10"/>
        <v>61.6</v>
      </c>
    </row>
    <row r="655" spans="1:13">
      <c r="A655" t="s">
        <v>235</v>
      </c>
      <c r="B655" t="s">
        <v>236</v>
      </c>
      <c r="C655" s="1">
        <v>40114</v>
      </c>
      <c r="D655" t="s">
        <v>44</v>
      </c>
      <c r="E655" t="s">
        <v>67</v>
      </c>
      <c r="F655" t="s">
        <v>45</v>
      </c>
      <c r="G655" t="s">
        <v>17</v>
      </c>
      <c r="H655" t="s">
        <v>106</v>
      </c>
      <c r="I655" t="s">
        <v>190</v>
      </c>
      <c r="J655" t="s">
        <v>223</v>
      </c>
      <c r="K655" s="2">
        <v>18</v>
      </c>
      <c r="L655">
        <v>21</v>
      </c>
      <c r="M655">
        <f t="shared" si="10"/>
        <v>378</v>
      </c>
    </row>
    <row r="656" spans="1:13">
      <c r="A656" t="s">
        <v>237</v>
      </c>
      <c r="B656" t="s">
        <v>238</v>
      </c>
      <c r="C656" s="1">
        <v>39715</v>
      </c>
      <c r="D656" t="s">
        <v>43</v>
      </c>
      <c r="E656" t="s">
        <v>53</v>
      </c>
      <c r="F656" t="s">
        <v>41</v>
      </c>
      <c r="G656" t="s">
        <v>17</v>
      </c>
      <c r="H656" t="s">
        <v>239</v>
      </c>
      <c r="J656" t="s">
        <v>240</v>
      </c>
      <c r="K656" s="2">
        <v>28.8</v>
      </c>
      <c r="L656">
        <v>50</v>
      </c>
      <c r="M656">
        <f t="shared" si="10"/>
        <v>1440</v>
      </c>
    </row>
    <row r="657" spans="1:13">
      <c r="A657" t="s">
        <v>237</v>
      </c>
      <c r="B657" t="s">
        <v>238</v>
      </c>
      <c r="C657" s="1">
        <v>40105</v>
      </c>
      <c r="D657" t="s">
        <v>133</v>
      </c>
      <c r="E657" t="s">
        <v>89</v>
      </c>
      <c r="F657" t="s">
        <v>134</v>
      </c>
      <c r="G657" t="s">
        <v>39</v>
      </c>
      <c r="H657" t="s">
        <v>239</v>
      </c>
      <c r="J657" t="s">
        <v>240</v>
      </c>
      <c r="K657" s="2">
        <v>9.65</v>
      </c>
      <c r="L657">
        <v>35</v>
      </c>
      <c r="M657">
        <f t="shared" si="10"/>
        <v>337.75</v>
      </c>
    </row>
    <row r="658" spans="1:13">
      <c r="A658" t="s">
        <v>237</v>
      </c>
      <c r="B658" t="s">
        <v>238</v>
      </c>
      <c r="C658" s="1">
        <v>39565</v>
      </c>
      <c r="D658" t="s">
        <v>42</v>
      </c>
      <c r="E658" t="s">
        <v>53</v>
      </c>
      <c r="F658" t="s">
        <v>22</v>
      </c>
      <c r="G658" t="s">
        <v>39</v>
      </c>
      <c r="H658" t="s">
        <v>239</v>
      </c>
      <c r="J658" t="s">
        <v>240</v>
      </c>
      <c r="K658" s="2">
        <v>62.5</v>
      </c>
      <c r="L658">
        <v>35</v>
      </c>
      <c r="M658">
        <f t="shared" si="10"/>
        <v>2187.5</v>
      </c>
    </row>
    <row r="659" spans="1:13">
      <c r="A659" t="s">
        <v>237</v>
      </c>
      <c r="B659" t="s">
        <v>238</v>
      </c>
      <c r="C659" s="1">
        <v>40105</v>
      </c>
      <c r="D659" t="s">
        <v>72</v>
      </c>
      <c r="E659" t="s">
        <v>89</v>
      </c>
      <c r="F659" t="s">
        <v>22</v>
      </c>
      <c r="G659" t="s">
        <v>39</v>
      </c>
      <c r="H659" t="s">
        <v>239</v>
      </c>
      <c r="J659" t="s">
        <v>240</v>
      </c>
      <c r="K659" s="2">
        <v>43.9</v>
      </c>
      <c r="L659">
        <v>9</v>
      </c>
      <c r="M659">
        <f t="shared" si="10"/>
        <v>395.09999999999997</v>
      </c>
    </row>
    <row r="660" spans="1:13">
      <c r="A660" t="s">
        <v>237</v>
      </c>
      <c r="B660" t="s">
        <v>238</v>
      </c>
      <c r="C660" s="1">
        <v>40105</v>
      </c>
      <c r="D660" t="s">
        <v>43</v>
      </c>
      <c r="E660" t="s">
        <v>89</v>
      </c>
      <c r="F660" t="s">
        <v>41</v>
      </c>
      <c r="G660" t="s">
        <v>39</v>
      </c>
      <c r="H660" t="s">
        <v>239</v>
      </c>
      <c r="J660" t="s">
        <v>240</v>
      </c>
      <c r="K660" s="2">
        <v>36</v>
      </c>
      <c r="L660">
        <v>30</v>
      </c>
      <c r="M660">
        <f t="shared" si="10"/>
        <v>1080</v>
      </c>
    </row>
    <row r="661" spans="1:13">
      <c r="A661" t="s">
        <v>237</v>
      </c>
      <c r="B661" t="s">
        <v>238</v>
      </c>
      <c r="C661" s="1">
        <v>39941</v>
      </c>
      <c r="D661" t="s">
        <v>48</v>
      </c>
      <c r="E661" t="s">
        <v>15</v>
      </c>
      <c r="F661" t="s">
        <v>22</v>
      </c>
      <c r="G661" t="s">
        <v>17</v>
      </c>
      <c r="H661" t="s">
        <v>239</v>
      </c>
      <c r="J661" t="s">
        <v>240</v>
      </c>
      <c r="K661" s="2">
        <v>39</v>
      </c>
      <c r="L661">
        <v>40</v>
      </c>
      <c r="M661">
        <f t="shared" si="10"/>
        <v>1560</v>
      </c>
    </row>
    <row r="662" spans="1:13">
      <c r="A662" t="s">
        <v>237</v>
      </c>
      <c r="B662" t="s">
        <v>238</v>
      </c>
      <c r="C662" s="1">
        <v>39941</v>
      </c>
      <c r="D662" t="s">
        <v>28</v>
      </c>
      <c r="E662" t="s">
        <v>15</v>
      </c>
      <c r="F662" t="s">
        <v>29</v>
      </c>
      <c r="G662" t="s">
        <v>17</v>
      </c>
      <c r="H662" t="s">
        <v>239</v>
      </c>
      <c r="J662" t="s">
        <v>240</v>
      </c>
      <c r="K662" s="2">
        <v>28.5</v>
      </c>
      <c r="L662">
        <v>20</v>
      </c>
      <c r="M662">
        <f t="shared" si="10"/>
        <v>570</v>
      </c>
    </row>
    <row r="663" spans="1:13">
      <c r="A663" t="s">
        <v>237</v>
      </c>
      <c r="B663" t="s">
        <v>238</v>
      </c>
      <c r="C663" s="1">
        <v>39840</v>
      </c>
      <c r="D663" t="s">
        <v>153</v>
      </c>
      <c r="E663" t="s">
        <v>24</v>
      </c>
      <c r="F663" t="s">
        <v>125</v>
      </c>
      <c r="G663" t="s">
        <v>17</v>
      </c>
      <c r="H663" t="s">
        <v>239</v>
      </c>
      <c r="J663" t="s">
        <v>240</v>
      </c>
      <c r="K663" s="2">
        <v>18.600000000000001</v>
      </c>
      <c r="L663">
        <v>35</v>
      </c>
      <c r="M663">
        <f t="shared" si="10"/>
        <v>651</v>
      </c>
    </row>
    <row r="664" spans="1:13">
      <c r="A664" t="s">
        <v>237</v>
      </c>
      <c r="B664" t="s">
        <v>238</v>
      </c>
      <c r="C664" s="1">
        <v>40004</v>
      </c>
      <c r="D664" t="s">
        <v>95</v>
      </c>
      <c r="E664" t="s">
        <v>50</v>
      </c>
      <c r="F664" t="s">
        <v>27</v>
      </c>
      <c r="G664" t="s">
        <v>17</v>
      </c>
      <c r="H664" t="s">
        <v>239</v>
      </c>
      <c r="J664" t="s">
        <v>240</v>
      </c>
      <c r="K664" s="2">
        <v>21.05</v>
      </c>
      <c r="L664">
        <v>12</v>
      </c>
      <c r="M664">
        <f t="shared" si="10"/>
        <v>252.60000000000002</v>
      </c>
    </row>
    <row r="665" spans="1:13">
      <c r="A665" t="s">
        <v>237</v>
      </c>
      <c r="B665" t="s">
        <v>238</v>
      </c>
      <c r="C665" s="1">
        <v>39565</v>
      </c>
      <c r="D665" t="s">
        <v>138</v>
      </c>
      <c r="E665" t="s">
        <v>53</v>
      </c>
      <c r="F665" t="s">
        <v>76</v>
      </c>
      <c r="G665" t="s">
        <v>39</v>
      </c>
      <c r="H665" t="s">
        <v>239</v>
      </c>
      <c r="J665" t="s">
        <v>240</v>
      </c>
      <c r="K665" s="2">
        <v>32</v>
      </c>
      <c r="L665">
        <v>20</v>
      </c>
      <c r="M665">
        <f t="shared" si="10"/>
        <v>640</v>
      </c>
    </row>
    <row r="666" spans="1:13">
      <c r="A666" t="s">
        <v>237</v>
      </c>
      <c r="B666" t="s">
        <v>238</v>
      </c>
      <c r="C666" s="1">
        <v>39941</v>
      </c>
      <c r="D666" t="s">
        <v>96</v>
      </c>
      <c r="E666" t="s">
        <v>15</v>
      </c>
      <c r="F666" t="s">
        <v>97</v>
      </c>
      <c r="G666" t="s">
        <v>17</v>
      </c>
      <c r="H666" t="s">
        <v>239</v>
      </c>
      <c r="J666" t="s">
        <v>240</v>
      </c>
      <c r="K666" s="2">
        <v>18</v>
      </c>
      <c r="L666">
        <v>50</v>
      </c>
      <c r="M666">
        <f t="shared" si="10"/>
        <v>900</v>
      </c>
    </row>
    <row r="667" spans="1:13">
      <c r="A667" t="s">
        <v>237</v>
      </c>
      <c r="B667" t="s">
        <v>238</v>
      </c>
      <c r="C667" s="1">
        <v>39900</v>
      </c>
      <c r="D667" t="s">
        <v>20</v>
      </c>
      <c r="E667" t="s">
        <v>89</v>
      </c>
      <c r="F667" t="s">
        <v>22</v>
      </c>
      <c r="G667" t="s">
        <v>17</v>
      </c>
      <c r="H667" t="s">
        <v>239</v>
      </c>
      <c r="J667" t="s">
        <v>240</v>
      </c>
      <c r="K667" s="2">
        <v>13.9</v>
      </c>
      <c r="L667">
        <v>18</v>
      </c>
      <c r="M667">
        <f t="shared" si="10"/>
        <v>250.20000000000002</v>
      </c>
    </row>
    <row r="668" spans="1:13">
      <c r="A668" t="s">
        <v>237</v>
      </c>
      <c r="B668" t="s">
        <v>238</v>
      </c>
      <c r="C668" s="1">
        <v>39900</v>
      </c>
      <c r="D668" t="s">
        <v>131</v>
      </c>
      <c r="E668" t="s">
        <v>89</v>
      </c>
      <c r="F668" t="s">
        <v>132</v>
      </c>
      <c r="G668" t="s">
        <v>17</v>
      </c>
      <c r="H668" t="s">
        <v>239</v>
      </c>
      <c r="J668" t="s">
        <v>240</v>
      </c>
      <c r="K668" s="2">
        <v>16.8</v>
      </c>
      <c r="L668">
        <v>15</v>
      </c>
      <c r="M668">
        <f t="shared" si="10"/>
        <v>252</v>
      </c>
    </row>
    <row r="669" spans="1:13">
      <c r="A669" t="s">
        <v>237</v>
      </c>
      <c r="B669" t="s">
        <v>238</v>
      </c>
      <c r="C669" s="1">
        <v>39941</v>
      </c>
      <c r="D669" t="s">
        <v>94</v>
      </c>
      <c r="E669" t="s">
        <v>15</v>
      </c>
      <c r="F669" t="s">
        <v>74</v>
      </c>
      <c r="G669" t="s">
        <v>17</v>
      </c>
      <c r="H669" t="s">
        <v>239</v>
      </c>
      <c r="J669" t="s">
        <v>240</v>
      </c>
      <c r="K669" s="2">
        <v>46</v>
      </c>
      <c r="L669">
        <v>25</v>
      </c>
      <c r="M669">
        <f t="shared" si="10"/>
        <v>1150</v>
      </c>
    </row>
    <row r="670" spans="1:13">
      <c r="A670" t="s">
        <v>237</v>
      </c>
      <c r="B670" t="s">
        <v>238</v>
      </c>
      <c r="C670" s="1">
        <v>39468</v>
      </c>
      <c r="D670" t="s">
        <v>117</v>
      </c>
      <c r="E670" t="s">
        <v>67</v>
      </c>
      <c r="F670" t="s">
        <v>118</v>
      </c>
      <c r="G670" t="s">
        <v>39</v>
      </c>
      <c r="H670" t="s">
        <v>239</v>
      </c>
      <c r="J670" t="s">
        <v>240</v>
      </c>
      <c r="K670" s="2">
        <v>21</v>
      </c>
      <c r="L670">
        <v>35</v>
      </c>
      <c r="M670">
        <f t="shared" si="10"/>
        <v>735</v>
      </c>
    </row>
    <row r="671" spans="1:13">
      <c r="A671" t="s">
        <v>237</v>
      </c>
      <c r="B671" t="s">
        <v>238</v>
      </c>
      <c r="C671" s="1">
        <v>40105</v>
      </c>
      <c r="D671" t="s">
        <v>137</v>
      </c>
      <c r="E671" t="s">
        <v>89</v>
      </c>
      <c r="F671" t="s">
        <v>76</v>
      </c>
      <c r="G671" t="s">
        <v>39</v>
      </c>
      <c r="H671" t="s">
        <v>239</v>
      </c>
      <c r="J671" t="s">
        <v>240</v>
      </c>
      <c r="K671" s="2">
        <v>12.5</v>
      </c>
      <c r="L671">
        <v>8</v>
      </c>
      <c r="M671">
        <f t="shared" si="10"/>
        <v>100</v>
      </c>
    </row>
    <row r="672" spans="1:13">
      <c r="A672" t="s">
        <v>237</v>
      </c>
      <c r="B672" t="s">
        <v>238</v>
      </c>
      <c r="C672" s="1">
        <v>40004</v>
      </c>
      <c r="D672" t="s">
        <v>123</v>
      </c>
      <c r="E672" t="s">
        <v>50</v>
      </c>
      <c r="F672" t="s">
        <v>63</v>
      </c>
      <c r="G672" t="s">
        <v>17</v>
      </c>
      <c r="H672" t="s">
        <v>239</v>
      </c>
      <c r="J672" t="s">
        <v>240</v>
      </c>
      <c r="K672" s="2">
        <v>19.5</v>
      </c>
      <c r="L672">
        <v>20</v>
      </c>
      <c r="M672">
        <f t="shared" si="10"/>
        <v>390</v>
      </c>
    </row>
    <row r="673" spans="1:13">
      <c r="A673" t="s">
        <v>237</v>
      </c>
      <c r="B673" t="s">
        <v>238</v>
      </c>
      <c r="C673" s="1">
        <v>40004</v>
      </c>
      <c r="D673" t="s">
        <v>98</v>
      </c>
      <c r="E673" t="s">
        <v>50</v>
      </c>
      <c r="F673" t="s">
        <v>99</v>
      </c>
      <c r="G673" t="s">
        <v>17</v>
      </c>
      <c r="H673" t="s">
        <v>239</v>
      </c>
      <c r="J673" t="s">
        <v>240</v>
      </c>
      <c r="K673" s="2">
        <v>4.5</v>
      </c>
      <c r="L673">
        <v>35</v>
      </c>
      <c r="M673">
        <f t="shared" si="10"/>
        <v>157.5</v>
      </c>
    </row>
    <row r="674" spans="1:13">
      <c r="A674" t="s">
        <v>237</v>
      </c>
      <c r="B674" t="s">
        <v>238</v>
      </c>
      <c r="C674" s="1">
        <v>40086</v>
      </c>
      <c r="D674" t="s">
        <v>30</v>
      </c>
      <c r="E674" t="s">
        <v>53</v>
      </c>
      <c r="F674" t="s">
        <v>31</v>
      </c>
      <c r="G674" t="s">
        <v>17</v>
      </c>
      <c r="H674" t="s">
        <v>239</v>
      </c>
      <c r="J674" t="s">
        <v>240</v>
      </c>
      <c r="K674" s="2">
        <v>31.23</v>
      </c>
      <c r="L674">
        <v>15</v>
      </c>
      <c r="M674">
        <f t="shared" si="10"/>
        <v>468.45</v>
      </c>
    </row>
    <row r="675" spans="1:13">
      <c r="A675" t="s">
        <v>237</v>
      </c>
      <c r="B675" t="s">
        <v>238</v>
      </c>
      <c r="C675" s="1">
        <v>40086</v>
      </c>
      <c r="D675" t="s">
        <v>48</v>
      </c>
      <c r="E675" t="s">
        <v>53</v>
      </c>
      <c r="F675" t="s">
        <v>22</v>
      </c>
      <c r="G675" t="s">
        <v>17</v>
      </c>
      <c r="H675" t="s">
        <v>239</v>
      </c>
      <c r="J675" t="s">
        <v>240</v>
      </c>
      <c r="K675" s="2">
        <v>39</v>
      </c>
      <c r="L675">
        <v>30</v>
      </c>
      <c r="M675">
        <f t="shared" si="10"/>
        <v>1170</v>
      </c>
    </row>
    <row r="676" spans="1:13">
      <c r="A676" t="s">
        <v>237</v>
      </c>
      <c r="B676" t="s">
        <v>238</v>
      </c>
      <c r="C676" s="1">
        <v>39734</v>
      </c>
      <c r="D676" t="s">
        <v>55</v>
      </c>
      <c r="E676" t="s">
        <v>50</v>
      </c>
      <c r="F676" t="s">
        <v>56</v>
      </c>
      <c r="G676" t="s">
        <v>17</v>
      </c>
      <c r="H676" t="s">
        <v>239</v>
      </c>
      <c r="J676" t="s">
        <v>240</v>
      </c>
      <c r="K676" s="2">
        <v>210.8</v>
      </c>
      <c r="L676">
        <v>50</v>
      </c>
      <c r="M676">
        <f t="shared" si="10"/>
        <v>10540</v>
      </c>
    </row>
    <row r="677" spans="1:13">
      <c r="A677" t="s">
        <v>237</v>
      </c>
      <c r="B677" t="s">
        <v>238</v>
      </c>
      <c r="C677" s="1">
        <v>39734</v>
      </c>
      <c r="D677" t="s">
        <v>131</v>
      </c>
      <c r="E677" t="s">
        <v>50</v>
      </c>
      <c r="F677" t="s">
        <v>132</v>
      </c>
      <c r="G677" t="s">
        <v>17</v>
      </c>
      <c r="H677" t="s">
        <v>239</v>
      </c>
      <c r="J677" t="s">
        <v>240</v>
      </c>
      <c r="K677" s="2">
        <v>16.8</v>
      </c>
      <c r="L677">
        <v>12</v>
      </c>
      <c r="M677">
        <f t="shared" si="10"/>
        <v>201.60000000000002</v>
      </c>
    </row>
    <row r="678" spans="1:13">
      <c r="A678" t="s">
        <v>237</v>
      </c>
      <c r="B678" t="s">
        <v>238</v>
      </c>
      <c r="C678" s="1">
        <v>39565</v>
      </c>
      <c r="D678" t="s">
        <v>147</v>
      </c>
      <c r="E678" t="s">
        <v>53</v>
      </c>
      <c r="F678" t="s">
        <v>51</v>
      </c>
      <c r="G678" t="s">
        <v>39</v>
      </c>
      <c r="H678" t="s">
        <v>239</v>
      </c>
      <c r="J678" t="s">
        <v>240</v>
      </c>
      <c r="K678" s="2">
        <v>33.25</v>
      </c>
      <c r="L678">
        <v>25</v>
      </c>
      <c r="M678">
        <f t="shared" si="10"/>
        <v>831.25</v>
      </c>
    </row>
    <row r="679" spans="1:13">
      <c r="A679" t="s">
        <v>241</v>
      </c>
      <c r="B679" t="s">
        <v>242</v>
      </c>
      <c r="C679" s="1">
        <v>39674</v>
      </c>
      <c r="D679" t="s">
        <v>98</v>
      </c>
      <c r="E679" t="s">
        <v>53</v>
      </c>
      <c r="F679" t="s">
        <v>99</v>
      </c>
      <c r="G679" t="s">
        <v>17</v>
      </c>
      <c r="H679" t="s">
        <v>243</v>
      </c>
      <c r="J679" t="s">
        <v>244</v>
      </c>
      <c r="K679" s="2">
        <v>3.6</v>
      </c>
      <c r="L679">
        <v>12</v>
      </c>
      <c r="M679">
        <f t="shared" si="10"/>
        <v>43.2</v>
      </c>
    </row>
    <row r="680" spans="1:13">
      <c r="A680" t="s">
        <v>241</v>
      </c>
      <c r="B680" t="s">
        <v>242</v>
      </c>
      <c r="C680" s="1">
        <v>39475</v>
      </c>
      <c r="D680" t="s">
        <v>151</v>
      </c>
      <c r="E680" t="s">
        <v>67</v>
      </c>
      <c r="F680" t="s">
        <v>37</v>
      </c>
      <c r="G680" t="s">
        <v>39</v>
      </c>
      <c r="H680" t="s">
        <v>243</v>
      </c>
      <c r="J680" t="s">
        <v>244</v>
      </c>
      <c r="K680" s="2">
        <v>10</v>
      </c>
      <c r="L680">
        <v>30</v>
      </c>
      <c r="M680">
        <f t="shared" si="10"/>
        <v>300</v>
      </c>
    </row>
    <row r="681" spans="1:13">
      <c r="A681" t="s">
        <v>241</v>
      </c>
      <c r="B681" t="s">
        <v>242</v>
      </c>
      <c r="C681" s="1">
        <v>39463</v>
      </c>
      <c r="D681" t="s">
        <v>170</v>
      </c>
      <c r="E681" t="s">
        <v>103</v>
      </c>
      <c r="F681" t="s">
        <v>101</v>
      </c>
      <c r="G681" t="s">
        <v>39</v>
      </c>
      <c r="H681" t="s">
        <v>243</v>
      </c>
      <c r="J681" t="s">
        <v>244</v>
      </c>
      <c r="K681" s="2">
        <v>9.5</v>
      </c>
      <c r="L681">
        <v>40</v>
      </c>
      <c r="M681">
        <f t="shared" si="10"/>
        <v>380</v>
      </c>
    </row>
    <row r="682" spans="1:13">
      <c r="A682" t="s">
        <v>241</v>
      </c>
      <c r="B682" t="s">
        <v>242</v>
      </c>
      <c r="C682" s="1">
        <v>39674</v>
      </c>
      <c r="D682" t="s">
        <v>148</v>
      </c>
      <c r="E682" t="s">
        <v>53</v>
      </c>
      <c r="F682" t="s">
        <v>16</v>
      </c>
      <c r="G682" t="s">
        <v>17</v>
      </c>
      <c r="H682" t="s">
        <v>243</v>
      </c>
      <c r="J682" t="s">
        <v>244</v>
      </c>
      <c r="K682" s="2">
        <v>19.2</v>
      </c>
      <c r="L682">
        <v>20</v>
      </c>
      <c r="M682">
        <f t="shared" si="10"/>
        <v>384</v>
      </c>
    </row>
    <row r="683" spans="1:13">
      <c r="A683" t="s">
        <v>241</v>
      </c>
      <c r="B683" t="s">
        <v>242</v>
      </c>
      <c r="C683" s="1">
        <v>39481</v>
      </c>
      <c r="D683" t="s">
        <v>83</v>
      </c>
      <c r="E683" t="s">
        <v>66</v>
      </c>
      <c r="F683" t="s">
        <v>84</v>
      </c>
      <c r="G683" t="s">
        <v>39</v>
      </c>
      <c r="H683" t="s">
        <v>243</v>
      </c>
      <c r="J683" t="s">
        <v>244</v>
      </c>
      <c r="K683" s="2">
        <v>25.89</v>
      </c>
      <c r="L683">
        <v>40</v>
      </c>
      <c r="M683">
        <f t="shared" si="10"/>
        <v>1035.5999999999999</v>
      </c>
    </row>
    <row r="684" spans="1:13">
      <c r="A684" t="s">
        <v>241</v>
      </c>
      <c r="B684" t="s">
        <v>242</v>
      </c>
      <c r="C684" s="1">
        <v>39511</v>
      </c>
      <c r="D684" t="s">
        <v>71</v>
      </c>
      <c r="E684" t="s">
        <v>15</v>
      </c>
      <c r="F684" t="s">
        <v>51</v>
      </c>
      <c r="G684" t="s">
        <v>39</v>
      </c>
      <c r="H684" t="s">
        <v>243</v>
      </c>
      <c r="J684" t="s">
        <v>244</v>
      </c>
      <c r="K684" s="2">
        <v>7.75</v>
      </c>
      <c r="L684">
        <v>6</v>
      </c>
      <c r="M684">
        <f t="shared" si="10"/>
        <v>46.5</v>
      </c>
    </row>
    <row r="685" spans="1:13">
      <c r="A685" t="s">
        <v>241</v>
      </c>
      <c r="B685" t="s">
        <v>242</v>
      </c>
      <c r="C685" s="1">
        <v>40093</v>
      </c>
      <c r="D685" t="s">
        <v>120</v>
      </c>
      <c r="E685" t="s">
        <v>21</v>
      </c>
      <c r="F685" t="s">
        <v>33</v>
      </c>
      <c r="G685" t="s">
        <v>17</v>
      </c>
      <c r="H685" t="s">
        <v>243</v>
      </c>
      <c r="J685" t="s">
        <v>244</v>
      </c>
      <c r="K685" s="2">
        <v>7</v>
      </c>
      <c r="L685">
        <v>25</v>
      </c>
      <c r="M685">
        <f t="shared" si="10"/>
        <v>175</v>
      </c>
    </row>
    <row r="686" spans="1:13">
      <c r="A686" t="s">
        <v>241</v>
      </c>
      <c r="B686" t="s">
        <v>242</v>
      </c>
      <c r="C686" s="1">
        <v>39481</v>
      </c>
      <c r="D686" t="s">
        <v>98</v>
      </c>
      <c r="E686" t="s">
        <v>66</v>
      </c>
      <c r="F686" t="s">
        <v>99</v>
      </c>
      <c r="G686" t="s">
        <v>39</v>
      </c>
      <c r="H686" t="s">
        <v>243</v>
      </c>
      <c r="J686" t="s">
        <v>244</v>
      </c>
      <c r="K686" s="2">
        <v>4.5</v>
      </c>
      <c r="L686">
        <v>6</v>
      </c>
      <c r="M686">
        <f t="shared" si="10"/>
        <v>27</v>
      </c>
    </row>
    <row r="687" spans="1:13">
      <c r="A687" t="s">
        <v>241</v>
      </c>
      <c r="B687" t="s">
        <v>242</v>
      </c>
      <c r="C687" s="1">
        <v>40073</v>
      </c>
      <c r="D687" t="s">
        <v>55</v>
      </c>
      <c r="E687" t="s">
        <v>103</v>
      </c>
      <c r="F687" t="s">
        <v>56</v>
      </c>
      <c r="G687" t="s">
        <v>17</v>
      </c>
      <c r="H687" t="s">
        <v>243</v>
      </c>
      <c r="J687" t="s">
        <v>244</v>
      </c>
      <c r="K687" s="2">
        <v>263.5</v>
      </c>
      <c r="L687">
        <v>15</v>
      </c>
      <c r="M687">
        <f t="shared" si="10"/>
        <v>3952.5</v>
      </c>
    </row>
    <row r="688" spans="1:13">
      <c r="A688" t="s">
        <v>241</v>
      </c>
      <c r="B688" t="s">
        <v>242</v>
      </c>
      <c r="C688" s="1">
        <v>39481</v>
      </c>
      <c r="D688" t="s">
        <v>36</v>
      </c>
      <c r="E688" t="s">
        <v>66</v>
      </c>
      <c r="F688" t="s">
        <v>37</v>
      </c>
      <c r="G688" t="s">
        <v>39</v>
      </c>
      <c r="H688" t="s">
        <v>243</v>
      </c>
      <c r="J688" t="s">
        <v>244</v>
      </c>
      <c r="K688" s="2">
        <v>19</v>
      </c>
      <c r="L688">
        <v>21</v>
      </c>
      <c r="M688">
        <f t="shared" si="10"/>
        <v>399</v>
      </c>
    </row>
    <row r="689" spans="1:13">
      <c r="A689" t="s">
        <v>241</v>
      </c>
      <c r="B689" t="s">
        <v>242</v>
      </c>
      <c r="C689" s="1">
        <v>40058</v>
      </c>
      <c r="D689" t="s">
        <v>14</v>
      </c>
      <c r="E689" t="s">
        <v>66</v>
      </c>
      <c r="F689" t="s">
        <v>16</v>
      </c>
      <c r="G689" t="s">
        <v>17</v>
      </c>
      <c r="H689" t="s">
        <v>243</v>
      </c>
      <c r="J689" t="s">
        <v>244</v>
      </c>
      <c r="K689" s="2">
        <v>7.45</v>
      </c>
      <c r="L689">
        <v>6</v>
      </c>
      <c r="M689">
        <f t="shared" si="10"/>
        <v>44.7</v>
      </c>
    </row>
    <row r="690" spans="1:13">
      <c r="A690" t="s">
        <v>241</v>
      </c>
      <c r="B690" t="s">
        <v>242</v>
      </c>
      <c r="C690" s="1">
        <v>40073</v>
      </c>
      <c r="D690" t="s">
        <v>121</v>
      </c>
      <c r="E690" t="s">
        <v>103</v>
      </c>
      <c r="F690" t="s">
        <v>41</v>
      </c>
      <c r="G690" t="s">
        <v>17</v>
      </c>
      <c r="H690" t="s">
        <v>243</v>
      </c>
      <c r="J690" t="s">
        <v>244</v>
      </c>
      <c r="K690" s="2">
        <v>21.5</v>
      </c>
      <c r="L690">
        <v>12</v>
      </c>
      <c r="M690">
        <f t="shared" si="10"/>
        <v>258</v>
      </c>
    </row>
    <row r="691" spans="1:13">
      <c r="A691" t="s">
        <v>241</v>
      </c>
      <c r="B691" t="s">
        <v>242</v>
      </c>
      <c r="C691" s="1">
        <v>39511</v>
      </c>
      <c r="D691" t="s">
        <v>102</v>
      </c>
      <c r="E691" t="s">
        <v>15</v>
      </c>
      <c r="F691" t="s">
        <v>47</v>
      </c>
      <c r="G691" t="s">
        <v>39</v>
      </c>
      <c r="H691" t="s">
        <v>243</v>
      </c>
      <c r="J691" t="s">
        <v>244</v>
      </c>
      <c r="K691" s="2">
        <v>31</v>
      </c>
      <c r="L691">
        <v>20</v>
      </c>
      <c r="M691">
        <f t="shared" si="10"/>
        <v>620</v>
      </c>
    </row>
    <row r="692" spans="1:13">
      <c r="A692" t="s">
        <v>241</v>
      </c>
      <c r="B692" t="s">
        <v>242</v>
      </c>
      <c r="C692" s="1">
        <v>39511</v>
      </c>
      <c r="D692" t="s">
        <v>77</v>
      </c>
      <c r="E692" t="s">
        <v>15</v>
      </c>
      <c r="F692" t="s">
        <v>51</v>
      </c>
      <c r="G692" t="s">
        <v>39</v>
      </c>
      <c r="H692" t="s">
        <v>243</v>
      </c>
      <c r="J692" t="s">
        <v>244</v>
      </c>
      <c r="K692" s="2">
        <v>45.6</v>
      </c>
      <c r="L692">
        <v>30</v>
      </c>
      <c r="M692">
        <f t="shared" si="10"/>
        <v>1368</v>
      </c>
    </row>
    <row r="693" spans="1:13">
      <c r="A693" t="s">
        <v>241</v>
      </c>
      <c r="B693" t="s">
        <v>242</v>
      </c>
      <c r="C693" s="1">
        <v>40058</v>
      </c>
      <c r="D693" t="s">
        <v>109</v>
      </c>
      <c r="E693" t="s">
        <v>66</v>
      </c>
      <c r="F693" t="s">
        <v>56</v>
      </c>
      <c r="G693" t="s">
        <v>17</v>
      </c>
      <c r="H693" t="s">
        <v>243</v>
      </c>
      <c r="J693" t="s">
        <v>244</v>
      </c>
      <c r="K693" s="2">
        <v>18</v>
      </c>
      <c r="L693">
        <v>20</v>
      </c>
      <c r="M693">
        <f t="shared" si="10"/>
        <v>360</v>
      </c>
    </row>
    <row r="694" spans="1:13">
      <c r="A694" t="s">
        <v>241</v>
      </c>
      <c r="B694" t="s">
        <v>242</v>
      </c>
      <c r="C694" s="1">
        <v>40058</v>
      </c>
      <c r="D694" t="s">
        <v>26</v>
      </c>
      <c r="E694" t="s">
        <v>66</v>
      </c>
      <c r="F694" t="s">
        <v>27</v>
      </c>
      <c r="G694" t="s">
        <v>17</v>
      </c>
      <c r="H694" t="s">
        <v>243</v>
      </c>
      <c r="J694" t="s">
        <v>244</v>
      </c>
      <c r="K694" s="2">
        <v>22</v>
      </c>
      <c r="L694">
        <v>12</v>
      </c>
      <c r="M694">
        <f t="shared" si="10"/>
        <v>264</v>
      </c>
    </row>
    <row r="695" spans="1:13">
      <c r="A695" t="s">
        <v>241</v>
      </c>
      <c r="B695" t="s">
        <v>242</v>
      </c>
      <c r="C695" s="1">
        <v>39674</v>
      </c>
      <c r="D695" t="s">
        <v>71</v>
      </c>
      <c r="E695" t="s">
        <v>53</v>
      </c>
      <c r="F695" t="s">
        <v>51</v>
      </c>
      <c r="G695" t="s">
        <v>17</v>
      </c>
      <c r="H695" t="s">
        <v>243</v>
      </c>
      <c r="J695" t="s">
        <v>244</v>
      </c>
      <c r="K695" s="2">
        <v>6.2</v>
      </c>
      <c r="L695">
        <v>30</v>
      </c>
      <c r="M695">
        <f t="shared" si="10"/>
        <v>186</v>
      </c>
    </row>
    <row r="696" spans="1:13">
      <c r="A696" t="s">
        <v>241</v>
      </c>
      <c r="B696" t="s">
        <v>242</v>
      </c>
      <c r="C696" s="1">
        <v>39853</v>
      </c>
      <c r="D696" t="s">
        <v>44</v>
      </c>
      <c r="E696" t="s">
        <v>15</v>
      </c>
      <c r="F696" t="s">
        <v>45</v>
      </c>
      <c r="G696" t="s">
        <v>17</v>
      </c>
      <c r="H696" t="s">
        <v>243</v>
      </c>
      <c r="J696" t="s">
        <v>244</v>
      </c>
      <c r="K696" s="2">
        <v>14.4</v>
      </c>
      <c r="L696">
        <v>8</v>
      </c>
      <c r="M696">
        <f t="shared" si="10"/>
        <v>115.2</v>
      </c>
    </row>
    <row r="697" spans="1:13">
      <c r="A697" t="s">
        <v>241</v>
      </c>
      <c r="B697" t="s">
        <v>242</v>
      </c>
      <c r="C697" s="1">
        <v>39707</v>
      </c>
      <c r="D697" t="s">
        <v>136</v>
      </c>
      <c r="E697" t="s">
        <v>15</v>
      </c>
      <c r="F697" t="s">
        <v>35</v>
      </c>
      <c r="G697" t="s">
        <v>17</v>
      </c>
      <c r="H697" t="s">
        <v>243</v>
      </c>
      <c r="J697" t="s">
        <v>244</v>
      </c>
      <c r="K697" s="2">
        <v>64.8</v>
      </c>
      <c r="L697">
        <v>28</v>
      </c>
      <c r="M697">
        <f t="shared" si="10"/>
        <v>1814.3999999999999</v>
      </c>
    </row>
    <row r="698" spans="1:13">
      <c r="A698" t="s">
        <v>241</v>
      </c>
      <c r="B698" t="s">
        <v>242</v>
      </c>
      <c r="C698" s="1">
        <v>39484</v>
      </c>
      <c r="D698" t="s">
        <v>64</v>
      </c>
      <c r="E698" t="s">
        <v>24</v>
      </c>
      <c r="F698" t="s">
        <v>35</v>
      </c>
      <c r="G698" t="s">
        <v>39</v>
      </c>
      <c r="H698" t="s">
        <v>243</v>
      </c>
      <c r="J698" t="s">
        <v>244</v>
      </c>
      <c r="K698" s="2">
        <v>9.1999999999999993</v>
      </c>
      <c r="L698">
        <v>25</v>
      </c>
      <c r="M698">
        <f t="shared" si="10"/>
        <v>229.99999999999997</v>
      </c>
    </row>
    <row r="699" spans="1:13">
      <c r="A699" t="s">
        <v>241</v>
      </c>
      <c r="B699" t="s">
        <v>242</v>
      </c>
      <c r="C699" s="1">
        <v>39934</v>
      </c>
      <c r="D699" t="s">
        <v>14</v>
      </c>
      <c r="E699" t="s">
        <v>21</v>
      </c>
      <c r="F699" t="s">
        <v>16</v>
      </c>
      <c r="G699" t="s">
        <v>17</v>
      </c>
      <c r="H699" t="s">
        <v>243</v>
      </c>
      <c r="J699" t="s">
        <v>244</v>
      </c>
      <c r="K699" s="2">
        <v>7.45</v>
      </c>
      <c r="L699">
        <v>15</v>
      </c>
      <c r="M699">
        <f t="shared" si="10"/>
        <v>111.75</v>
      </c>
    </row>
    <row r="700" spans="1:13">
      <c r="A700" t="s">
        <v>241</v>
      </c>
      <c r="B700" t="s">
        <v>242</v>
      </c>
      <c r="C700" s="1">
        <v>39707</v>
      </c>
      <c r="D700" t="s">
        <v>86</v>
      </c>
      <c r="E700" t="s">
        <v>15</v>
      </c>
      <c r="F700" t="s">
        <v>54</v>
      </c>
      <c r="G700" t="s">
        <v>17</v>
      </c>
      <c r="H700" t="s">
        <v>243</v>
      </c>
      <c r="J700" t="s">
        <v>244</v>
      </c>
      <c r="K700" s="2">
        <v>27.2</v>
      </c>
      <c r="L700">
        <v>15</v>
      </c>
      <c r="M700">
        <f t="shared" si="10"/>
        <v>408</v>
      </c>
    </row>
    <row r="701" spans="1:13">
      <c r="A701" t="s">
        <v>241</v>
      </c>
      <c r="B701" t="s">
        <v>242</v>
      </c>
      <c r="C701" s="1">
        <v>39669</v>
      </c>
      <c r="D701" t="s">
        <v>73</v>
      </c>
      <c r="E701" t="s">
        <v>67</v>
      </c>
      <c r="F701" t="s">
        <v>74</v>
      </c>
      <c r="G701" t="s">
        <v>17</v>
      </c>
      <c r="H701" t="s">
        <v>243</v>
      </c>
      <c r="J701" t="s">
        <v>244</v>
      </c>
      <c r="K701" s="2">
        <v>15.5</v>
      </c>
      <c r="L701">
        <v>16</v>
      </c>
      <c r="M701">
        <f t="shared" si="10"/>
        <v>248</v>
      </c>
    </row>
    <row r="702" spans="1:13">
      <c r="A702" t="s">
        <v>241</v>
      </c>
      <c r="B702" t="s">
        <v>242</v>
      </c>
      <c r="C702" s="1">
        <v>39669</v>
      </c>
      <c r="D702" t="s">
        <v>52</v>
      </c>
      <c r="E702" t="s">
        <v>67</v>
      </c>
      <c r="F702" t="s">
        <v>54</v>
      </c>
      <c r="G702" t="s">
        <v>17</v>
      </c>
      <c r="H702" t="s">
        <v>243</v>
      </c>
      <c r="J702" t="s">
        <v>244</v>
      </c>
      <c r="K702" s="2">
        <v>44</v>
      </c>
      <c r="L702">
        <v>15</v>
      </c>
      <c r="M702">
        <f t="shared" si="10"/>
        <v>660</v>
      </c>
    </row>
    <row r="703" spans="1:13">
      <c r="A703" t="s">
        <v>241</v>
      </c>
      <c r="B703" t="s">
        <v>242</v>
      </c>
      <c r="C703" s="1">
        <v>39669</v>
      </c>
      <c r="D703" t="s">
        <v>72</v>
      </c>
      <c r="E703" t="s">
        <v>67</v>
      </c>
      <c r="F703" t="s">
        <v>22</v>
      </c>
      <c r="G703" t="s">
        <v>17</v>
      </c>
      <c r="H703" t="s">
        <v>243</v>
      </c>
      <c r="J703" t="s">
        <v>244</v>
      </c>
      <c r="K703" s="2">
        <v>35.1</v>
      </c>
      <c r="L703">
        <v>8</v>
      </c>
      <c r="M703">
        <f t="shared" si="10"/>
        <v>280.8</v>
      </c>
    </row>
    <row r="704" spans="1:13">
      <c r="A704" t="s">
        <v>241</v>
      </c>
      <c r="B704" t="s">
        <v>242</v>
      </c>
      <c r="C704" s="1">
        <v>39475</v>
      </c>
      <c r="D704" t="s">
        <v>30</v>
      </c>
      <c r="E704" t="s">
        <v>67</v>
      </c>
      <c r="F704" t="s">
        <v>31</v>
      </c>
      <c r="G704" t="s">
        <v>39</v>
      </c>
      <c r="H704" t="s">
        <v>243</v>
      </c>
      <c r="J704" t="s">
        <v>244</v>
      </c>
      <c r="K704" s="2">
        <v>31.23</v>
      </c>
      <c r="L704">
        <v>35</v>
      </c>
      <c r="M704">
        <f t="shared" si="10"/>
        <v>1093.05</v>
      </c>
    </row>
    <row r="705" spans="1:13">
      <c r="A705" t="s">
        <v>241</v>
      </c>
      <c r="B705" t="s">
        <v>242</v>
      </c>
      <c r="C705" s="1">
        <v>39853</v>
      </c>
      <c r="D705" t="s">
        <v>133</v>
      </c>
      <c r="E705" t="s">
        <v>15</v>
      </c>
      <c r="F705" t="s">
        <v>134</v>
      </c>
      <c r="G705" t="s">
        <v>17</v>
      </c>
      <c r="H705" t="s">
        <v>243</v>
      </c>
      <c r="J705" t="s">
        <v>244</v>
      </c>
      <c r="K705" s="2">
        <v>7.7</v>
      </c>
      <c r="L705">
        <v>30</v>
      </c>
      <c r="M705">
        <f t="shared" si="10"/>
        <v>231</v>
      </c>
    </row>
    <row r="706" spans="1:13">
      <c r="A706" t="s">
        <v>241</v>
      </c>
      <c r="B706" t="s">
        <v>242</v>
      </c>
      <c r="C706" s="1">
        <v>39934</v>
      </c>
      <c r="D706" t="s">
        <v>83</v>
      </c>
      <c r="E706" t="s">
        <v>21</v>
      </c>
      <c r="F706" t="s">
        <v>84</v>
      </c>
      <c r="G706" t="s">
        <v>17</v>
      </c>
      <c r="H706" t="s">
        <v>243</v>
      </c>
      <c r="J706" t="s">
        <v>244</v>
      </c>
      <c r="K706" s="2">
        <v>25.89</v>
      </c>
      <c r="L706">
        <v>10</v>
      </c>
      <c r="M706">
        <f t="shared" si="10"/>
        <v>258.89999999999998</v>
      </c>
    </row>
    <row r="707" spans="1:13">
      <c r="A707" t="s">
        <v>241</v>
      </c>
      <c r="B707" t="s">
        <v>242</v>
      </c>
      <c r="C707" s="1">
        <v>39853</v>
      </c>
      <c r="D707" t="s">
        <v>30</v>
      </c>
      <c r="E707" t="s">
        <v>15</v>
      </c>
      <c r="F707" t="s">
        <v>31</v>
      </c>
      <c r="G707" t="s">
        <v>17</v>
      </c>
      <c r="H707" t="s">
        <v>243</v>
      </c>
      <c r="J707" t="s">
        <v>244</v>
      </c>
      <c r="K707" s="2">
        <v>24.9</v>
      </c>
      <c r="L707">
        <v>15</v>
      </c>
      <c r="M707">
        <f t="shared" ref="M707:M770" si="11">K707*L707</f>
        <v>373.5</v>
      </c>
    </row>
    <row r="708" spans="1:13">
      <c r="A708" t="s">
        <v>241</v>
      </c>
      <c r="B708" t="s">
        <v>242</v>
      </c>
      <c r="C708" s="1">
        <v>39853</v>
      </c>
      <c r="D708" t="s">
        <v>48</v>
      </c>
      <c r="E708" t="s">
        <v>15</v>
      </c>
      <c r="F708" t="s">
        <v>22</v>
      </c>
      <c r="G708" t="s">
        <v>17</v>
      </c>
      <c r="H708" t="s">
        <v>243</v>
      </c>
      <c r="J708" t="s">
        <v>244</v>
      </c>
      <c r="K708" s="2">
        <v>31.2</v>
      </c>
      <c r="L708">
        <v>10</v>
      </c>
      <c r="M708">
        <f t="shared" si="11"/>
        <v>312</v>
      </c>
    </row>
    <row r="709" spans="1:13">
      <c r="A709" t="s">
        <v>241</v>
      </c>
      <c r="B709" t="s">
        <v>242</v>
      </c>
      <c r="C709" s="1">
        <v>39982</v>
      </c>
      <c r="D709" t="s">
        <v>20</v>
      </c>
      <c r="E709" t="s">
        <v>15</v>
      </c>
      <c r="F709" t="s">
        <v>22</v>
      </c>
      <c r="G709" t="s">
        <v>17</v>
      </c>
      <c r="H709" t="s">
        <v>243</v>
      </c>
      <c r="J709" t="s">
        <v>244</v>
      </c>
      <c r="K709" s="2">
        <v>17.45</v>
      </c>
      <c r="L709">
        <v>12</v>
      </c>
      <c r="M709">
        <f t="shared" si="11"/>
        <v>209.39999999999998</v>
      </c>
    </row>
    <row r="710" spans="1:13">
      <c r="A710" t="s">
        <v>241</v>
      </c>
      <c r="B710" t="s">
        <v>242</v>
      </c>
      <c r="C710" s="1">
        <v>39982</v>
      </c>
      <c r="D710" t="s">
        <v>138</v>
      </c>
      <c r="E710" t="s">
        <v>15</v>
      </c>
      <c r="F710" t="s">
        <v>76</v>
      </c>
      <c r="G710" t="s">
        <v>17</v>
      </c>
      <c r="H710" t="s">
        <v>243</v>
      </c>
      <c r="J710" t="s">
        <v>244</v>
      </c>
      <c r="K710" s="2">
        <v>32</v>
      </c>
      <c r="L710">
        <v>10</v>
      </c>
      <c r="M710">
        <f t="shared" si="11"/>
        <v>320</v>
      </c>
    </row>
    <row r="711" spans="1:13">
      <c r="A711" t="s">
        <v>241</v>
      </c>
      <c r="B711" t="s">
        <v>242</v>
      </c>
      <c r="C711" s="1">
        <v>39982</v>
      </c>
      <c r="D711" t="s">
        <v>185</v>
      </c>
      <c r="E711" t="s">
        <v>15</v>
      </c>
      <c r="F711" t="s">
        <v>134</v>
      </c>
      <c r="G711" t="s">
        <v>17</v>
      </c>
      <c r="H711" t="s">
        <v>243</v>
      </c>
      <c r="J711" t="s">
        <v>244</v>
      </c>
      <c r="K711" s="2">
        <v>18.399999999999999</v>
      </c>
      <c r="L711">
        <v>50</v>
      </c>
      <c r="M711">
        <f t="shared" si="11"/>
        <v>919.99999999999989</v>
      </c>
    </row>
    <row r="712" spans="1:13">
      <c r="A712" t="s">
        <v>241</v>
      </c>
      <c r="B712" t="s">
        <v>242</v>
      </c>
      <c r="C712" s="1">
        <v>39982</v>
      </c>
      <c r="D712" t="s">
        <v>71</v>
      </c>
      <c r="E712" t="s">
        <v>15</v>
      </c>
      <c r="F712" t="s">
        <v>51</v>
      </c>
      <c r="G712" t="s">
        <v>17</v>
      </c>
      <c r="H712" t="s">
        <v>243</v>
      </c>
      <c r="J712" t="s">
        <v>244</v>
      </c>
      <c r="K712" s="2">
        <v>7.75</v>
      </c>
      <c r="L712">
        <v>15</v>
      </c>
      <c r="M712">
        <f t="shared" si="11"/>
        <v>116.25</v>
      </c>
    </row>
    <row r="713" spans="1:13">
      <c r="A713" t="s">
        <v>241</v>
      </c>
      <c r="B713" t="s">
        <v>242</v>
      </c>
      <c r="C713" s="1">
        <v>39857</v>
      </c>
      <c r="D713" t="s">
        <v>14</v>
      </c>
      <c r="E713" t="s">
        <v>15</v>
      </c>
      <c r="F713" t="s">
        <v>16</v>
      </c>
      <c r="G713" t="s">
        <v>17</v>
      </c>
      <c r="H713" t="s">
        <v>243</v>
      </c>
      <c r="J713" t="s">
        <v>244</v>
      </c>
      <c r="K713" s="2">
        <v>5.9</v>
      </c>
      <c r="L713">
        <v>15</v>
      </c>
      <c r="M713">
        <f t="shared" si="11"/>
        <v>88.5</v>
      </c>
    </row>
    <row r="714" spans="1:13">
      <c r="A714" t="s">
        <v>241</v>
      </c>
      <c r="B714" t="s">
        <v>242</v>
      </c>
      <c r="C714" s="1">
        <v>39857</v>
      </c>
      <c r="D714" t="s">
        <v>109</v>
      </c>
      <c r="E714" t="s">
        <v>15</v>
      </c>
      <c r="F714" t="s">
        <v>56</v>
      </c>
      <c r="G714" t="s">
        <v>17</v>
      </c>
      <c r="H714" t="s">
        <v>243</v>
      </c>
      <c r="J714" t="s">
        <v>244</v>
      </c>
      <c r="K714" s="2">
        <v>14.4</v>
      </c>
      <c r="L714">
        <v>6</v>
      </c>
      <c r="M714">
        <f t="shared" si="11"/>
        <v>86.4</v>
      </c>
    </row>
    <row r="715" spans="1:13">
      <c r="A715" t="s">
        <v>241</v>
      </c>
      <c r="B715" t="s">
        <v>242</v>
      </c>
      <c r="C715" s="1">
        <v>39669</v>
      </c>
      <c r="D715" t="s">
        <v>65</v>
      </c>
      <c r="E715" t="s">
        <v>67</v>
      </c>
      <c r="F715" t="s">
        <v>58</v>
      </c>
      <c r="G715" t="s">
        <v>17</v>
      </c>
      <c r="H715" t="s">
        <v>243</v>
      </c>
      <c r="J715" t="s">
        <v>244</v>
      </c>
      <c r="K715" s="2">
        <v>12</v>
      </c>
      <c r="L715">
        <v>25</v>
      </c>
      <c r="M715">
        <f t="shared" si="11"/>
        <v>300</v>
      </c>
    </row>
    <row r="716" spans="1:13">
      <c r="A716" t="s">
        <v>241</v>
      </c>
      <c r="B716" t="s">
        <v>242</v>
      </c>
      <c r="C716" s="1">
        <v>39484</v>
      </c>
      <c r="D716" t="s">
        <v>170</v>
      </c>
      <c r="E716" t="s">
        <v>24</v>
      </c>
      <c r="F716" t="s">
        <v>101</v>
      </c>
      <c r="G716" t="s">
        <v>39</v>
      </c>
      <c r="H716" t="s">
        <v>243</v>
      </c>
      <c r="J716" t="s">
        <v>244</v>
      </c>
      <c r="K716" s="2">
        <v>9.5</v>
      </c>
      <c r="L716">
        <v>21</v>
      </c>
      <c r="M716">
        <f t="shared" si="11"/>
        <v>199.5</v>
      </c>
    </row>
    <row r="717" spans="1:13">
      <c r="A717" t="s">
        <v>241</v>
      </c>
      <c r="B717" t="s">
        <v>242</v>
      </c>
      <c r="C717" s="1">
        <v>40072</v>
      </c>
      <c r="D717" t="s">
        <v>133</v>
      </c>
      <c r="E717" t="s">
        <v>15</v>
      </c>
      <c r="F717" t="s">
        <v>134</v>
      </c>
      <c r="G717" t="s">
        <v>39</v>
      </c>
      <c r="H717" t="s">
        <v>243</v>
      </c>
      <c r="J717" t="s">
        <v>244</v>
      </c>
      <c r="K717" s="2">
        <v>9.65</v>
      </c>
      <c r="L717">
        <v>10</v>
      </c>
      <c r="M717">
        <f t="shared" si="11"/>
        <v>96.5</v>
      </c>
    </row>
    <row r="718" spans="1:13">
      <c r="A718" t="s">
        <v>241</v>
      </c>
      <c r="B718" t="s">
        <v>242</v>
      </c>
      <c r="C718" s="1">
        <v>39475</v>
      </c>
      <c r="D718" t="s">
        <v>88</v>
      </c>
      <c r="E718" t="s">
        <v>67</v>
      </c>
      <c r="F718" t="s">
        <v>51</v>
      </c>
      <c r="G718" t="s">
        <v>39</v>
      </c>
      <c r="H718" t="s">
        <v>243</v>
      </c>
      <c r="J718" t="s">
        <v>244</v>
      </c>
      <c r="K718" s="2">
        <v>123.79</v>
      </c>
      <c r="L718">
        <v>10</v>
      </c>
      <c r="M718">
        <f t="shared" si="11"/>
        <v>1237.9000000000001</v>
      </c>
    </row>
    <row r="719" spans="1:13">
      <c r="A719" t="s">
        <v>241</v>
      </c>
      <c r="B719" t="s">
        <v>242</v>
      </c>
      <c r="C719" s="1">
        <v>40087</v>
      </c>
      <c r="D719" t="s">
        <v>111</v>
      </c>
      <c r="E719" t="s">
        <v>21</v>
      </c>
      <c r="F719" t="s">
        <v>37</v>
      </c>
      <c r="G719" t="s">
        <v>17</v>
      </c>
      <c r="H719" t="s">
        <v>243</v>
      </c>
      <c r="J719" t="s">
        <v>244</v>
      </c>
      <c r="K719" s="2">
        <v>18</v>
      </c>
      <c r="L719">
        <v>35</v>
      </c>
      <c r="M719">
        <f t="shared" si="11"/>
        <v>630</v>
      </c>
    </row>
    <row r="720" spans="1:13">
      <c r="A720" t="s">
        <v>241</v>
      </c>
      <c r="B720" t="s">
        <v>242</v>
      </c>
      <c r="C720" s="1">
        <v>40035</v>
      </c>
      <c r="D720" t="s">
        <v>32</v>
      </c>
      <c r="E720" t="s">
        <v>21</v>
      </c>
      <c r="F720" t="s">
        <v>33</v>
      </c>
      <c r="G720" t="s">
        <v>17</v>
      </c>
      <c r="H720" t="s">
        <v>243</v>
      </c>
      <c r="J720" t="s">
        <v>244</v>
      </c>
      <c r="K720" s="2">
        <v>32.799999999999997</v>
      </c>
      <c r="L720">
        <v>12</v>
      </c>
      <c r="M720">
        <f t="shared" si="11"/>
        <v>393.59999999999997</v>
      </c>
    </row>
    <row r="721" spans="1:13">
      <c r="A721" t="s">
        <v>241</v>
      </c>
      <c r="B721" t="s">
        <v>242</v>
      </c>
      <c r="C721" s="1">
        <v>39934</v>
      </c>
      <c r="D721" t="s">
        <v>94</v>
      </c>
      <c r="E721" t="s">
        <v>21</v>
      </c>
      <c r="F721" t="s">
        <v>74</v>
      </c>
      <c r="G721" t="s">
        <v>17</v>
      </c>
      <c r="H721" t="s">
        <v>243</v>
      </c>
      <c r="J721" t="s">
        <v>244</v>
      </c>
      <c r="K721" s="2">
        <v>46</v>
      </c>
      <c r="L721">
        <v>60</v>
      </c>
      <c r="M721">
        <f t="shared" si="11"/>
        <v>2760</v>
      </c>
    </row>
    <row r="722" spans="1:13">
      <c r="A722" t="s">
        <v>241</v>
      </c>
      <c r="B722" t="s">
        <v>242</v>
      </c>
      <c r="C722" s="1">
        <v>39484</v>
      </c>
      <c r="D722" t="s">
        <v>119</v>
      </c>
      <c r="E722" t="s">
        <v>24</v>
      </c>
      <c r="F722" t="s">
        <v>97</v>
      </c>
      <c r="G722" t="s">
        <v>39</v>
      </c>
      <c r="H722" t="s">
        <v>243</v>
      </c>
      <c r="J722" t="s">
        <v>244</v>
      </c>
      <c r="K722" s="2">
        <v>20</v>
      </c>
      <c r="L722">
        <v>15</v>
      </c>
      <c r="M722">
        <f t="shared" si="11"/>
        <v>300</v>
      </c>
    </row>
    <row r="723" spans="1:13">
      <c r="A723" t="s">
        <v>241</v>
      </c>
      <c r="B723" t="s">
        <v>242</v>
      </c>
      <c r="C723" s="1">
        <v>39934</v>
      </c>
      <c r="D723" t="s">
        <v>102</v>
      </c>
      <c r="E723" t="s">
        <v>21</v>
      </c>
      <c r="F723" t="s">
        <v>47</v>
      </c>
      <c r="G723" t="s">
        <v>17</v>
      </c>
      <c r="H723" t="s">
        <v>243</v>
      </c>
      <c r="J723" t="s">
        <v>244</v>
      </c>
      <c r="K723" s="2">
        <v>31</v>
      </c>
      <c r="L723">
        <v>2</v>
      </c>
      <c r="M723">
        <f t="shared" si="11"/>
        <v>62</v>
      </c>
    </row>
    <row r="724" spans="1:13">
      <c r="A724" t="s">
        <v>241</v>
      </c>
      <c r="B724" t="s">
        <v>242</v>
      </c>
      <c r="C724" s="1">
        <v>40093</v>
      </c>
      <c r="D724" t="s">
        <v>77</v>
      </c>
      <c r="E724" t="s">
        <v>21</v>
      </c>
      <c r="F724" t="s">
        <v>51</v>
      </c>
      <c r="G724" t="s">
        <v>17</v>
      </c>
      <c r="H724" t="s">
        <v>243</v>
      </c>
      <c r="J724" t="s">
        <v>244</v>
      </c>
      <c r="K724" s="2">
        <v>45.6</v>
      </c>
      <c r="L724">
        <v>20</v>
      </c>
      <c r="M724">
        <f t="shared" si="11"/>
        <v>912</v>
      </c>
    </row>
    <row r="725" spans="1:13">
      <c r="A725" t="s">
        <v>241</v>
      </c>
      <c r="B725" t="s">
        <v>242</v>
      </c>
      <c r="C725" s="1">
        <v>40093</v>
      </c>
      <c r="D725" t="s">
        <v>153</v>
      </c>
      <c r="E725" t="s">
        <v>21</v>
      </c>
      <c r="F725" t="s">
        <v>125</v>
      </c>
      <c r="G725" t="s">
        <v>17</v>
      </c>
      <c r="H725" t="s">
        <v>243</v>
      </c>
      <c r="J725" t="s">
        <v>244</v>
      </c>
      <c r="K725" s="2">
        <v>23.25</v>
      </c>
      <c r="L725">
        <v>16</v>
      </c>
      <c r="M725">
        <f t="shared" si="11"/>
        <v>372</v>
      </c>
    </row>
    <row r="726" spans="1:13">
      <c r="A726" t="s">
        <v>241</v>
      </c>
      <c r="B726" t="s">
        <v>242</v>
      </c>
      <c r="C726" s="1">
        <v>39463</v>
      </c>
      <c r="D726" t="s">
        <v>185</v>
      </c>
      <c r="E726" t="s">
        <v>103</v>
      </c>
      <c r="F726" t="s">
        <v>134</v>
      </c>
      <c r="G726" t="s">
        <v>39</v>
      </c>
      <c r="H726" t="s">
        <v>243</v>
      </c>
      <c r="J726" t="s">
        <v>244</v>
      </c>
      <c r="K726" s="2">
        <v>18.399999999999999</v>
      </c>
      <c r="L726">
        <v>25</v>
      </c>
      <c r="M726">
        <f t="shared" si="11"/>
        <v>459.99999999999994</v>
      </c>
    </row>
    <row r="727" spans="1:13">
      <c r="A727" t="s">
        <v>241</v>
      </c>
      <c r="B727" t="s">
        <v>242</v>
      </c>
      <c r="C727" s="1">
        <v>39463</v>
      </c>
      <c r="D727" t="s">
        <v>124</v>
      </c>
      <c r="E727" t="s">
        <v>103</v>
      </c>
      <c r="F727" t="s">
        <v>125</v>
      </c>
      <c r="G727" t="s">
        <v>39</v>
      </c>
      <c r="H727" t="s">
        <v>243</v>
      </c>
      <c r="J727" t="s">
        <v>244</v>
      </c>
      <c r="K727" s="2">
        <v>6</v>
      </c>
      <c r="L727">
        <v>6</v>
      </c>
      <c r="M727">
        <f t="shared" si="11"/>
        <v>36</v>
      </c>
    </row>
    <row r="728" spans="1:13">
      <c r="A728" t="s">
        <v>241</v>
      </c>
      <c r="B728" t="s">
        <v>242</v>
      </c>
      <c r="C728" s="1">
        <v>39463</v>
      </c>
      <c r="D728" t="s">
        <v>96</v>
      </c>
      <c r="E728" t="s">
        <v>103</v>
      </c>
      <c r="F728" t="s">
        <v>97</v>
      </c>
      <c r="G728" t="s">
        <v>39</v>
      </c>
      <c r="H728" t="s">
        <v>243</v>
      </c>
      <c r="J728" t="s">
        <v>244</v>
      </c>
      <c r="K728" s="2">
        <v>18</v>
      </c>
      <c r="L728">
        <v>21</v>
      </c>
      <c r="M728">
        <f t="shared" si="11"/>
        <v>378</v>
      </c>
    </row>
    <row r="729" spans="1:13">
      <c r="A729" t="s">
        <v>241</v>
      </c>
      <c r="B729" t="s">
        <v>242</v>
      </c>
      <c r="C729" s="1">
        <v>40035</v>
      </c>
      <c r="D729" t="s">
        <v>121</v>
      </c>
      <c r="E729" t="s">
        <v>21</v>
      </c>
      <c r="F729" t="s">
        <v>41</v>
      </c>
      <c r="G729" t="s">
        <v>17</v>
      </c>
      <c r="H729" t="s">
        <v>243</v>
      </c>
      <c r="J729" t="s">
        <v>244</v>
      </c>
      <c r="K729" s="2">
        <v>21.5</v>
      </c>
      <c r="L729">
        <v>20</v>
      </c>
      <c r="M729">
        <f t="shared" si="11"/>
        <v>430</v>
      </c>
    </row>
    <row r="730" spans="1:13">
      <c r="A730" t="s">
        <v>241</v>
      </c>
      <c r="B730" t="s">
        <v>242</v>
      </c>
      <c r="C730" s="1">
        <v>40035</v>
      </c>
      <c r="D730" t="s">
        <v>86</v>
      </c>
      <c r="E730" t="s">
        <v>21</v>
      </c>
      <c r="F730" t="s">
        <v>54</v>
      </c>
      <c r="G730" t="s">
        <v>17</v>
      </c>
      <c r="H730" t="s">
        <v>243</v>
      </c>
      <c r="J730" t="s">
        <v>244</v>
      </c>
      <c r="K730" s="2">
        <v>34</v>
      </c>
      <c r="L730">
        <v>20</v>
      </c>
      <c r="M730">
        <f t="shared" si="11"/>
        <v>680</v>
      </c>
    </row>
    <row r="731" spans="1:13">
      <c r="A731" t="s">
        <v>245</v>
      </c>
      <c r="B731" t="s">
        <v>246</v>
      </c>
      <c r="C731" s="1">
        <v>39942</v>
      </c>
      <c r="D731" t="s">
        <v>83</v>
      </c>
      <c r="E731" t="s">
        <v>67</v>
      </c>
      <c r="F731" t="s">
        <v>84</v>
      </c>
      <c r="G731" t="s">
        <v>17</v>
      </c>
      <c r="H731" t="s">
        <v>158</v>
      </c>
      <c r="I731" t="s">
        <v>247</v>
      </c>
      <c r="J731" t="s">
        <v>248</v>
      </c>
      <c r="K731" s="2">
        <v>25.89</v>
      </c>
      <c r="L731">
        <v>10</v>
      </c>
      <c r="M731">
        <f t="shared" si="11"/>
        <v>258.89999999999998</v>
      </c>
    </row>
    <row r="732" spans="1:13">
      <c r="A732" t="s">
        <v>245</v>
      </c>
      <c r="B732" t="s">
        <v>246</v>
      </c>
      <c r="C732" s="1">
        <v>39942</v>
      </c>
      <c r="D732" t="s">
        <v>185</v>
      </c>
      <c r="E732" t="s">
        <v>67</v>
      </c>
      <c r="F732" t="s">
        <v>134</v>
      </c>
      <c r="G732" t="s">
        <v>17</v>
      </c>
      <c r="H732" t="s">
        <v>158</v>
      </c>
      <c r="I732" t="s">
        <v>247</v>
      </c>
      <c r="J732" t="s">
        <v>248</v>
      </c>
      <c r="K732" s="2">
        <v>18.399999999999999</v>
      </c>
      <c r="L732">
        <v>10</v>
      </c>
      <c r="M732">
        <f t="shared" si="11"/>
        <v>184</v>
      </c>
    </row>
    <row r="733" spans="1:13">
      <c r="A733" t="s">
        <v>245</v>
      </c>
      <c r="B733" t="s">
        <v>246</v>
      </c>
      <c r="C733" s="1">
        <v>39942</v>
      </c>
      <c r="D733" t="s">
        <v>14</v>
      </c>
      <c r="E733" t="s">
        <v>67</v>
      </c>
      <c r="F733" t="s">
        <v>16</v>
      </c>
      <c r="G733" t="s">
        <v>17</v>
      </c>
      <c r="H733" t="s">
        <v>158</v>
      </c>
      <c r="I733" t="s">
        <v>247</v>
      </c>
      <c r="J733" t="s">
        <v>248</v>
      </c>
      <c r="K733" s="2">
        <v>7.45</v>
      </c>
      <c r="L733">
        <v>10</v>
      </c>
      <c r="M733">
        <f t="shared" si="11"/>
        <v>74.5</v>
      </c>
    </row>
    <row r="734" spans="1:13">
      <c r="A734" t="s">
        <v>245</v>
      </c>
      <c r="B734" t="s">
        <v>246</v>
      </c>
      <c r="C734" s="1">
        <v>39679</v>
      </c>
      <c r="D734" t="s">
        <v>150</v>
      </c>
      <c r="E734" t="s">
        <v>24</v>
      </c>
      <c r="F734" t="s">
        <v>31</v>
      </c>
      <c r="G734" t="s">
        <v>17</v>
      </c>
      <c r="H734" t="s">
        <v>158</v>
      </c>
      <c r="I734" t="s">
        <v>247</v>
      </c>
      <c r="J734" t="s">
        <v>248</v>
      </c>
      <c r="K734" s="2">
        <v>35.1</v>
      </c>
      <c r="L734">
        <v>15</v>
      </c>
      <c r="M734">
        <f t="shared" si="11"/>
        <v>526.5</v>
      </c>
    </row>
    <row r="735" spans="1:13">
      <c r="A735" t="s">
        <v>245</v>
      </c>
      <c r="B735" t="s">
        <v>246</v>
      </c>
      <c r="C735" s="1">
        <v>39752</v>
      </c>
      <c r="D735" t="s">
        <v>82</v>
      </c>
      <c r="E735" t="s">
        <v>24</v>
      </c>
      <c r="F735" t="s">
        <v>35</v>
      </c>
      <c r="G735" t="s">
        <v>17</v>
      </c>
      <c r="H735" t="s">
        <v>158</v>
      </c>
      <c r="I735" t="s">
        <v>247</v>
      </c>
      <c r="J735" t="s">
        <v>248</v>
      </c>
      <c r="K735" s="2">
        <v>10</v>
      </c>
      <c r="L735">
        <v>4</v>
      </c>
      <c r="M735">
        <f t="shared" si="11"/>
        <v>40</v>
      </c>
    </row>
    <row r="736" spans="1:13">
      <c r="A736" t="s">
        <v>245</v>
      </c>
      <c r="B736" t="s">
        <v>246</v>
      </c>
      <c r="C736" s="1">
        <v>39752</v>
      </c>
      <c r="D736" t="s">
        <v>96</v>
      </c>
      <c r="E736" t="s">
        <v>24</v>
      </c>
      <c r="F736" t="s">
        <v>97</v>
      </c>
      <c r="G736" t="s">
        <v>17</v>
      </c>
      <c r="H736" t="s">
        <v>158</v>
      </c>
      <c r="I736" t="s">
        <v>247</v>
      </c>
      <c r="J736" t="s">
        <v>248</v>
      </c>
      <c r="K736" s="2">
        <v>14.4</v>
      </c>
      <c r="L736">
        <v>15</v>
      </c>
      <c r="M736">
        <f t="shared" si="11"/>
        <v>216</v>
      </c>
    </row>
    <row r="737" spans="1:13">
      <c r="A737" t="s">
        <v>245</v>
      </c>
      <c r="B737" t="s">
        <v>246</v>
      </c>
      <c r="C737" s="1">
        <v>39679</v>
      </c>
      <c r="D737" t="s">
        <v>171</v>
      </c>
      <c r="E737" t="s">
        <v>24</v>
      </c>
      <c r="F737" t="s">
        <v>45</v>
      </c>
      <c r="G737" t="s">
        <v>17</v>
      </c>
      <c r="H737" t="s">
        <v>158</v>
      </c>
      <c r="I737" t="s">
        <v>247</v>
      </c>
      <c r="J737" t="s">
        <v>248</v>
      </c>
      <c r="K737" s="2">
        <v>11.2</v>
      </c>
      <c r="L737">
        <v>5</v>
      </c>
      <c r="M737">
        <f t="shared" si="11"/>
        <v>56</v>
      </c>
    </row>
    <row r="738" spans="1:13">
      <c r="A738" t="s">
        <v>245</v>
      </c>
      <c r="B738" t="s">
        <v>246</v>
      </c>
      <c r="C738" s="1">
        <v>39679</v>
      </c>
      <c r="D738" t="s">
        <v>73</v>
      </c>
      <c r="E738" t="s">
        <v>24</v>
      </c>
      <c r="F738" t="s">
        <v>74</v>
      </c>
      <c r="G738" t="s">
        <v>17</v>
      </c>
      <c r="H738" t="s">
        <v>158</v>
      </c>
      <c r="I738" t="s">
        <v>247</v>
      </c>
      <c r="J738" t="s">
        <v>248</v>
      </c>
      <c r="K738" s="2">
        <v>15.5</v>
      </c>
      <c r="L738">
        <v>21</v>
      </c>
      <c r="M738">
        <f t="shared" si="11"/>
        <v>325.5</v>
      </c>
    </row>
    <row r="739" spans="1:13">
      <c r="A739" t="s">
        <v>245</v>
      </c>
      <c r="B739" t="s">
        <v>246</v>
      </c>
      <c r="C739" s="1">
        <v>39679</v>
      </c>
      <c r="D739" t="s">
        <v>86</v>
      </c>
      <c r="E739" t="s">
        <v>24</v>
      </c>
      <c r="F739" t="s">
        <v>54</v>
      </c>
      <c r="G739" t="s">
        <v>17</v>
      </c>
      <c r="H739" t="s">
        <v>158</v>
      </c>
      <c r="I739" t="s">
        <v>247</v>
      </c>
      <c r="J739" t="s">
        <v>248</v>
      </c>
      <c r="K739" s="2">
        <v>27.2</v>
      </c>
      <c r="L739">
        <v>20</v>
      </c>
      <c r="M739">
        <f t="shared" si="11"/>
        <v>544</v>
      </c>
    </row>
    <row r="740" spans="1:13">
      <c r="A740" t="s">
        <v>245</v>
      </c>
      <c r="B740" t="s">
        <v>246</v>
      </c>
      <c r="C740" s="1">
        <v>39752</v>
      </c>
      <c r="D740" t="s">
        <v>147</v>
      </c>
      <c r="E740" t="s">
        <v>24</v>
      </c>
      <c r="F740" t="s">
        <v>51</v>
      </c>
      <c r="G740" t="s">
        <v>17</v>
      </c>
      <c r="H740" t="s">
        <v>158</v>
      </c>
      <c r="I740" t="s">
        <v>247</v>
      </c>
      <c r="J740" t="s">
        <v>248</v>
      </c>
      <c r="K740" s="2">
        <v>26.6</v>
      </c>
      <c r="L740">
        <v>50</v>
      </c>
      <c r="M740">
        <f t="shared" si="11"/>
        <v>1330</v>
      </c>
    </row>
    <row r="741" spans="1:13">
      <c r="A741" t="s">
        <v>245</v>
      </c>
      <c r="B741" t="s">
        <v>246</v>
      </c>
      <c r="C741" s="1">
        <v>39933</v>
      </c>
      <c r="D741" t="s">
        <v>83</v>
      </c>
      <c r="E741" t="s">
        <v>24</v>
      </c>
      <c r="F741" t="s">
        <v>84</v>
      </c>
      <c r="G741" t="s">
        <v>17</v>
      </c>
      <c r="H741" t="s">
        <v>158</v>
      </c>
      <c r="I741" t="s">
        <v>247</v>
      </c>
      <c r="J741" t="s">
        <v>248</v>
      </c>
      <c r="K741" s="2">
        <v>25.89</v>
      </c>
      <c r="L741">
        <v>20</v>
      </c>
      <c r="M741">
        <f t="shared" si="11"/>
        <v>517.79999999999995</v>
      </c>
    </row>
    <row r="742" spans="1:13">
      <c r="A742" t="s">
        <v>245</v>
      </c>
      <c r="B742" t="s">
        <v>246</v>
      </c>
      <c r="C742" s="1">
        <v>40002</v>
      </c>
      <c r="D742" t="s">
        <v>180</v>
      </c>
      <c r="E742" t="s">
        <v>15</v>
      </c>
      <c r="F742" t="s">
        <v>125</v>
      </c>
      <c r="G742" t="s">
        <v>17</v>
      </c>
      <c r="H742" t="s">
        <v>158</v>
      </c>
      <c r="I742" t="s">
        <v>247</v>
      </c>
      <c r="J742" t="s">
        <v>248</v>
      </c>
      <c r="K742" s="2">
        <v>15.5</v>
      </c>
      <c r="L742">
        <v>25</v>
      </c>
      <c r="M742">
        <f t="shared" si="11"/>
        <v>387.5</v>
      </c>
    </row>
    <row r="743" spans="1:13">
      <c r="A743" t="s">
        <v>245</v>
      </c>
      <c r="B743" t="s">
        <v>246</v>
      </c>
      <c r="C743" s="1">
        <v>40002</v>
      </c>
      <c r="D743" t="s">
        <v>30</v>
      </c>
      <c r="E743" t="s">
        <v>15</v>
      </c>
      <c r="F743" t="s">
        <v>31</v>
      </c>
      <c r="G743" t="s">
        <v>17</v>
      </c>
      <c r="H743" t="s">
        <v>158</v>
      </c>
      <c r="I743" t="s">
        <v>247</v>
      </c>
      <c r="J743" t="s">
        <v>248</v>
      </c>
      <c r="K743" s="2">
        <v>31.23</v>
      </c>
      <c r="L743">
        <v>5</v>
      </c>
      <c r="M743">
        <f t="shared" si="11"/>
        <v>156.15</v>
      </c>
    </row>
    <row r="744" spans="1:13">
      <c r="A744" t="s">
        <v>245</v>
      </c>
      <c r="B744" t="s">
        <v>246</v>
      </c>
      <c r="C744" s="1">
        <v>39947</v>
      </c>
      <c r="D744" t="s">
        <v>86</v>
      </c>
      <c r="E744" t="s">
        <v>15</v>
      </c>
      <c r="F744" t="s">
        <v>54</v>
      </c>
      <c r="G744" t="s">
        <v>17</v>
      </c>
      <c r="H744" t="s">
        <v>158</v>
      </c>
      <c r="I744" t="s">
        <v>247</v>
      </c>
      <c r="J744" t="s">
        <v>248</v>
      </c>
      <c r="K744" s="2">
        <v>34</v>
      </c>
      <c r="L744">
        <v>35</v>
      </c>
      <c r="M744">
        <f t="shared" si="11"/>
        <v>1190</v>
      </c>
    </row>
    <row r="745" spans="1:13">
      <c r="A745" t="s">
        <v>245</v>
      </c>
      <c r="B745" t="s">
        <v>246</v>
      </c>
      <c r="C745" s="1">
        <v>39947</v>
      </c>
      <c r="D745" t="s">
        <v>40</v>
      </c>
      <c r="E745" t="s">
        <v>15</v>
      </c>
      <c r="F745" t="s">
        <v>41</v>
      </c>
      <c r="G745" t="s">
        <v>17</v>
      </c>
      <c r="H745" t="s">
        <v>158</v>
      </c>
      <c r="I745" t="s">
        <v>247</v>
      </c>
      <c r="J745" t="s">
        <v>248</v>
      </c>
      <c r="K745" s="2">
        <v>2.5</v>
      </c>
      <c r="L745">
        <v>30</v>
      </c>
      <c r="M745">
        <f t="shared" si="11"/>
        <v>75</v>
      </c>
    </row>
    <row r="746" spans="1:13">
      <c r="A746" t="s">
        <v>245</v>
      </c>
      <c r="B746" t="s">
        <v>246</v>
      </c>
      <c r="C746" s="1">
        <v>39947</v>
      </c>
      <c r="D746" t="s">
        <v>137</v>
      </c>
      <c r="E746" t="s">
        <v>15</v>
      </c>
      <c r="F746" t="s">
        <v>76</v>
      </c>
      <c r="G746" t="s">
        <v>17</v>
      </c>
      <c r="H746" t="s">
        <v>158</v>
      </c>
      <c r="I746" t="s">
        <v>247</v>
      </c>
      <c r="J746" t="s">
        <v>248</v>
      </c>
      <c r="K746" s="2">
        <v>12.5</v>
      </c>
      <c r="L746">
        <v>20</v>
      </c>
      <c r="M746">
        <f t="shared" si="11"/>
        <v>250</v>
      </c>
    </row>
    <row r="747" spans="1:13">
      <c r="A747" t="s">
        <v>245</v>
      </c>
      <c r="B747" t="s">
        <v>246</v>
      </c>
      <c r="C747" s="1">
        <v>39947</v>
      </c>
      <c r="D747" t="s">
        <v>154</v>
      </c>
      <c r="E747" t="s">
        <v>15</v>
      </c>
      <c r="F747" t="s">
        <v>132</v>
      </c>
      <c r="G747" t="s">
        <v>17</v>
      </c>
      <c r="H747" t="s">
        <v>158</v>
      </c>
      <c r="I747" t="s">
        <v>247</v>
      </c>
      <c r="J747" t="s">
        <v>248</v>
      </c>
      <c r="K747" s="2">
        <v>38</v>
      </c>
      <c r="L747">
        <v>15</v>
      </c>
      <c r="M747">
        <f t="shared" si="11"/>
        <v>570</v>
      </c>
    </row>
    <row r="748" spans="1:13">
      <c r="A748" t="s">
        <v>245</v>
      </c>
      <c r="B748" t="s">
        <v>246</v>
      </c>
      <c r="C748" s="1">
        <v>39516</v>
      </c>
      <c r="D748" t="s">
        <v>155</v>
      </c>
      <c r="E748" t="s">
        <v>15</v>
      </c>
      <c r="F748" t="s">
        <v>25</v>
      </c>
      <c r="G748" t="s">
        <v>39</v>
      </c>
      <c r="H748" t="s">
        <v>158</v>
      </c>
      <c r="I748" t="s">
        <v>247</v>
      </c>
      <c r="J748" t="s">
        <v>248</v>
      </c>
      <c r="K748" s="2">
        <v>25</v>
      </c>
      <c r="L748">
        <v>20</v>
      </c>
      <c r="M748">
        <f t="shared" si="11"/>
        <v>500</v>
      </c>
    </row>
    <row r="749" spans="1:13">
      <c r="A749" t="s">
        <v>245</v>
      </c>
      <c r="B749" t="s">
        <v>246</v>
      </c>
      <c r="C749" s="1">
        <v>40003</v>
      </c>
      <c r="D749" t="s">
        <v>136</v>
      </c>
      <c r="E749" t="s">
        <v>50</v>
      </c>
      <c r="F749" t="s">
        <v>35</v>
      </c>
      <c r="G749" t="s">
        <v>17</v>
      </c>
      <c r="H749" t="s">
        <v>158</v>
      </c>
      <c r="I749" t="s">
        <v>247</v>
      </c>
      <c r="J749" t="s">
        <v>248</v>
      </c>
      <c r="K749" s="2">
        <v>81</v>
      </c>
      <c r="L749">
        <v>21</v>
      </c>
      <c r="M749">
        <f t="shared" si="11"/>
        <v>1701</v>
      </c>
    </row>
    <row r="750" spans="1:13">
      <c r="A750" t="s">
        <v>245</v>
      </c>
      <c r="B750" t="s">
        <v>246</v>
      </c>
      <c r="C750" s="1">
        <v>39495</v>
      </c>
      <c r="D750" t="s">
        <v>83</v>
      </c>
      <c r="E750" t="s">
        <v>50</v>
      </c>
      <c r="F750" t="s">
        <v>84</v>
      </c>
      <c r="G750" t="s">
        <v>39</v>
      </c>
      <c r="H750" t="s">
        <v>158</v>
      </c>
      <c r="I750" t="s">
        <v>247</v>
      </c>
      <c r="J750" t="s">
        <v>248</v>
      </c>
      <c r="K750" s="2">
        <v>25.89</v>
      </c>
      <c r="L750">
        <v>15</v>
      </c>
      <c r="M750">
        <f t="shared" si="11"/>
        <v>388.35</v>
      </c>
    </row>
    <row r="751" spans="1:13">
      <c r="A751" t="s">
        <v>245</v>
      </c>
      <c r="B751" t="s">
        <v>246</v>
      </c>
      <c r="C751" s="1">
        <v>39967</v>
      </c>
      <c r="D751" t="s">
        <v>71</v>
      </c>
      <c r="E751" t="s">
        <v>103</v>
      </c>
      <c r="F751" t="s">
        <v>51</v>
      </c>
      <c r="G751" t="s">
        <v>17</v>
      </c>
      <c r="H751" t="s">
        <v>158</v>
      </c>
      <c r="I751" t="s">
        <v>247</v>
      </c>
      <c r="J751" t="s">
        <v>248</v>
      </c>
      <c r="K751" s="2">
        <v>7.75</v>
      </c>
      <c r="L751">
        <v>20</v>
      </c>
      <c r="M751">
        <f t="shared" si="11"/>
        <v>155</v>
      </c>
    </row>
    <row r="752" spans="1:13">
      <c r="A752" t="s">
        <v>245</v>
      </c>
      <c r="B752" t="s">
        <v>246</v>
      </c>
      <c r="C752" s="1">
        <v>39673</v>
      </c>
      <c r="D752" t="s">
        <v>48</v>
      </c>
      <c r="E752" t="s">
        <v>67</v>
      </c>
      <c r="F752" t="s">
        <v>22</v>
      </c>
      <c r="G752" t="s">
        <v>17</v>
      </c>
      <c r="H752" t="s">
        <v>158</v>
      </c>
      <c r="I752" t="s">
        <v>247</v>
      </c>
      <c r="J752" t="s">
        <v>248</v>
      </c>
      <c r="K752" s="2">
        <v>31.2</v>
      </c>
      <c r="L752">
        <v>15</v>
      </c>
      <c r="M752">
        <f t="shared" si="11"/>
        <v>468</v>
      </c>
    </row>
    <row r="753" spans="1:13">
      <c r="A753" t="s">
        <v>245</v>
      </c>
      <c r="B753" t="s">
        <v>246</v>
      </c>
      <c r="C753" s="1">
        <v>39967</v>
      </c>
      <c r="D753" t="s">
        <v>147</v>
      </c>
      <c r="E753" t="s">
        <v>103</v>
      </c>
      <c r="F753" t="s">
        <v>51</v>
      </c>
      <c r="G753" t="s">
        <v>17</v>
      </c>
      <c r="H753" t="s">
        <v>158</v>
      </c>
      <c r="I753" t="s">
        <v>247</v>
      </c>
      <c r="J753" t="s">
        <v>248</v>
      </c>
      <c r="K753" s="2">
        <v>33.25</v>
      </c>
      <c r="L753">
        <v>30</v>
      </c>
      <c r="M753">
        <f t="shared" si="11"/>
        <v>997.5</v>
      </c>
    </row>
    <row r="754" spans="1:13">
      <c r="A754" t="s">
        <v>245</v>
      </c>
      <c r="B754" t="s">
        <v>246</v>
      </c>
      <c r="C754" s="1">
        <v>39573</v>
      </c>
      <c r="D754" t="s">
        <v>137</v>
      </c>
      <c r="E754" t="s">
        <v>53</v>
      </c>
      <c r="F754" t="s">
        <v>76</v>
      </c>
      <c r="G754" t="s">
        <v>39</v>
      </c>
      <c r="H754" t="s">
        <v>158</v>
      </c>
      <c r="I754" t="s">
        <v>247</v>
      </c>
      <c r="J754" t="s">
        <v>248</v>
      </c>
      <c r="K754" s="2">
        <v>12.5</v>
      </c>
      <c r="L754">
        <v>20</v>
      </c>
      <c r="M754">
        <f t="shared" si="11"/>
        <v>250</v>
      </c>
    </row>
    <row r="755" spans="1:13">
      <c r="A755" t="s">
        <v>245</v>
      </c>
      <c r="B755" t="s">
        <v>246</v>
      </c>
      <c r="C755" s="1">
        <v>39933</v>
      </c>
      <c r="D755" t="s">
        <v>23</v>
      </c>
      <c r="E755" t="s">
        <v>24</v>
      </c>
      <c r="F755" t="s">
        <v>25</v>
      </c>
      <c r="G755" t="s">
        <v>17</v>
      </c>
      <c r="H755" t="s">
        <v>158</v>
      </c>
      <c r="I755" t="s">
        <v>247</v>
      </c>
      <c r="J755" t="s">
        <v>248</v>
      </c>
      <c r="K755" s="2">
        <v>40</v>
      </c>
      <c r="L755">
        <v>24</v>
      </c>
      <c r="M755">
        <f t="shared" si="11"/>
        <v>960</v>
      </c>
    </row>
    <row r="756" spans="1:13">
      <c r="A756" t="s">
        <v>245</v>
      </c>
      <c r="B756" t="s">
        <v>246</v>
      </c>
      <c r="C756" s="1">
        <v>40066</v>
      </c>
      <c r="D756" t="s">
        <v>88</v>
      </c>
      <c r="E756" t="s">
        <v>15</v>
      </c>
      <c r="F756" t="s">
        <v>51</v>
      </c>
      <c r="G756" t="s">
        <v>39</v>
      </c>
      <c r="H756" t="s">
        <v>158</v>
      </c>
      <c r="I756" t="s">
        <v>247</v>
      </c>
      <c r="J756" t="s">
        <v>248</v>
      </c>
      <c r="K756" s="2">
        <v>123.79</v>
      </c>
      <c r="L756">
        <v>18</v>
      </c>
      <c r="M756">
        <f t="shared" si="11"/>
        <v>2228.2200000000003</v>
      </c>
    </row>
    <row r="757" spans="1:13">
      <c r="A757" t="s">
        <v>245</v>
      </c>
      <c r="B757" t="s">
        <v>246</v>
      </c>
      <c r="C757" s="1">
        <v>40066</v>
      </c>
      <c r="D757" t="s">
        <v>52</v>
      </c>
      <c r="E757" t="s">
        <v>15</v>
      </c>
      <c r="F757" t="s">
        <v>54</v>
      </c>
      <c r="G757" t="s">
        <v>39</v>
      </c>
      <c r="H757" t="s">
        <v>158</v>
      </c>
      <c r="I757" t="s">
        <v>247</v>
      </c>
      <c r="J757" t="s">
        <v>248</v>
      </c>
      <c r="K757" s="2">
        <v>55</v>
      </c>
      <c r="L757">
        <v>25</v>
      </c>
      <c r="M757">
        <f t="shared" si="11"/>
        <v>1375</v>
      </c>
    </row>
    <row r="758" spans="1:13">
      <c r="A758" t="s">
        <v>245</v>
      </c>
      <c r="B758" t="s">
        <v>246</v>
      </c>
      <c r="C758" s="1">
        <v>40003</v>
      </c>
      <c r="D758" t="s">
        <v>43</v>
      </c>
      <c r="E758" t="s">
        <v>50</v>
      </c>
      <c r="F758" t="s">
        <v>41</v>
      </c>
      <c r="G758" t="s">
        <v>17</v>
      </c>
      <c r="H758" t="s">
        <v>158</v>
      </c>
      <c r="I758" t="s">
        <v>247</v>
      </c>
      <c r="J758" t="s">
        <v>248</v>
      </c>
      <c r="K758" s="2">
        <v>36</v>
      </c>
      <c r="L758">
        <v>20</v>
      </c>
      <c r="M758">
        <f t="shared" si="11"/>
        <v>720</v>
      </c>
    </row>
    <row r="759" spans="1:13">
      <c r="A759" t="s">
        <v>245</v>
      </c>
      <c r="B759" t="s">
        <v>246</v>
      </c>
      <c r="C759" s="1">
        <v>40003</v>
      </c>
      <c r="D759" t="s">
        <v>96</v>
      </c>
      <c r="E759" t="s">
        <v>50</v>
      </c>
      <c r="F759" t="s">
        <v>97</v>
      </c>
      <c r="G759" t="s">
        <v>17</v>
      </c>
      <c r="H759" t="s">
        <v>158</v>
      </c>
      <c r="I759" t="s">
        <v>247</v>
      </c>
      <c r="J759" t="s">
        <v>248</v>
      </c>
      <c r="K759" s="2">
        <v>18</v>
      </c>
      <c r="L759">
        <v>4</v>
      </c>
      <c r="M759">
        <f t="shared" si="11"/>
        <v>72</v>
      </c>
    </row>
    <row r="760" spans="1:13">
      <c r="A760" t="s">
        <v>245</v>
      </c>
      <c r="B760" t="s">
        <v>246</v>
      </c>
      <c r="C760" s="1">
        <v>39573</v>
      </c>
      <c r="D760" t="s">
        <v>20</v>
      </c>
      <c r="E760" t="s">
        <v>53</v>
      </c>
      <c r="F760" t="s">
        <v>22</v>
      </c>
      <c r="G760" t="s">
        <v>39</v>
      </c>
      <c r="H760" t="s">
        <v>158</v>
      </c>
      <c r="I760" t="s">
        <v>247</v>
      </c>
      <c r="J760" t="s">
        <v>248</v>
      </c>
      <c r="K760" s="2">
        <v>17.45</v>
      </c>
      <c r="L760">
        <v>30</v>
      </c>
      <c r="M760">
        <f t="shared" si="11"/>
        <v>523.5</v>
      </c>
    </row>
    <row r="761" spans="1:13">
      <c r="A761" t="s">
        <v>245</v>
      </c>
      <c r="B761" t="s">
        <v>246</v>
      </c>
      <c r="C761" s="1">
        <v>39573</v>
      </c>
      <c r="D761" t="s">
        <v>36</v>
      </c>
      <c r="E761" t="s">
        <v>53</v>
      </c>
      <c r="F761" t="s">
        <v>37</v>
      </c>
      <c r="G761" t="s">
        <v>39</v>
      </c>
      <c r="H761" t="s">
        <v>158</v>
      </c>
      <c r="I761" t="s">
        <v>247</v>
      </c>
      <c r="J761" t="s">
        <v>248</v>
      </c>
      <c r="K761" s="2">
        <v>19</v>
      </c>
      <c r="L761">
        <v>20</v>
      </c>
      <c r="M761">
        <f t="shared" si="11"/>
        <v>380</v>
      </c>
    </row>
    <row r="762" spans="1:13">
      <c r="A762" t="s">
        <v>245</v>
      </c>
      <c r="B762" t="s">
        <v>246</v>
      </c>
      <c r="C762" s="1">
        <v>39573</v>
      </c>
      <c r="D762" t="s">
        <v>111</v>
      </c>
      <c r="E762" t="s">
        <v>53</v>
      </c>
      <c r="F762" t="s">
        <v>37</v>
      </c>
      <c r="G762" t="s">
        <v>39</v>
      </c>
      <c r="H762" t="s">
        <v>158</v>
      </c>
      <c r="I762" t="s">
        <v>247</v>
      </c>
      <c r="J762" t="s">
        <v>248</v>
      </c>
      <c r="K762" s="2">
        <v>18</v>
      </c>
      <c r="L762">
        <v>40</v>
      </c>
      <c r="M762">
        <f t="shared" si="11"/>
        <v>720</v>
      </c>
    </row>
    <row r="763" spans="1:13">
      <c r="A763" t="s">
        <v>245</v>
      </c>
      <c r="B763" t="s">
        <v>246</v>
      </c>
      <c r="C763" s="1">
        <v>39933</v>
      </c>
      <c r="D763" t="s">
        <v>185</v>
      </c>
      <c r="E763" t="s">
        <v>24</v>
      </c>
      <c r="F763" t="s">
        <v>134</v>
      </c>
      <c r="G763" t="s">
        <v>17</v>
      </c>
      <c r="H763" t="s">
        <v>158</v>
      </c>
      <c r="I763" t="s">
        <v>247</v>
      </c>
      <c r="J763" t="s">
        <v>248</v>
      </c>
      <c r="K763" s="2">
        <v>18.399999999999999</v>
      </c>
      <c r="L763">
        <v>25</v>
      </c>
      <c r="M763">
        <f t="shared" si="11"/>
        <v>459.99999999999994</v>
      </c>
    </row>
    <row r="764" spans="1:13">
      <c r="A764" t="s">
        <v>245</v>
      </c>
      <c r="B764" t="s">
        <v>246</v>
      </c>
      <c r="C764" s="1">
        <v>39477</v>
      </c>
      <c r="D764" t="s">
        <v>120</v>
      </c>
      <c r="E764" t="s">
        <v>67</v>
      </c>
      <c r="F764" t="s">
        <v>33</v>
      </c>
      <c r="G764" t="s">
        <v>39</v>
      </c>
      <c r="H764" t="s">
        <v>158</v>
      </c>
      <c r="I764" t="s">
        <v>247</v>
      </c>
      <c r="J764" t="s">
        <v>248</v>
      </c>
      <c r="K764" s="2">
        <v>7</v>
      </c>
      <c r="L764">
        <v>8</v>
      </c>
      <c r="M764">
        <f t="shared" si="11"/>
        <v>56</v>
      </c>
    </row>
    <row r="765" spans="1:13">
      <c r="A765" t="s">
        <v>245</v>
      </c>
      <c r="B765" t="s">
        <v>246</v>
      </c>
      <c r="C765" s="1">
        <v>39477</v>
      </c>
      <c r="D765" t="s">
        <v>131</v>
      </c>
      <c r="E765" t="s">
        <v>67</v>
      </c>
      <c r="F765" t="s">
        <v>132</v>
      </c>
      <c r="G765" t="s">
        <v>39</v>
      </c>
      <c r="H765" t="s">
        <v>158</v>
      </c>
      <c r="I765" t="s">
        <v>247</v>
      </c>
      <c r="J765" t="s">
        <v>248</v>
      </c>
      <c r="K765" s="2">
        <v>21</v>
      </c>
      <c r="L765">
        <v>25</v>
      </c>
      <c r="M765">
        <f t="shared" si="11"/>
        <v>525</v>
      </c>
    </row>
    <row r="766" spans="1:13">
      <c r="A766" t="s">
        <v>245</v>
      </c>
      <c r="B766" t="s">
        <v>246</v>
      </c>
      <c r="C766" s="1">
        <v>39907</v>
      </c>
      <c r="D766" t="s">
        <v>62</v>
      </c>
      <c r="E766" t="s">
        <v>50</v>
      </c>
      <c r="F766" t="s">
        <v>63</v>
      </c>
      <c r="G766" t="s">
        <v>17</v>
      </c>
      <c r="H766" t="s">
        <v>158</v>
      </c>
      <c r="I766" t="s">
        <v>247</v>
      </c>
      <c r="J766" t="s">
        <v>248</v>
      </c>
      <c r="K766" s="2">
        <v>30.4</v>
      </c>
      <c r="L766">
        <v>14</v>
      </c>
      <c r="M766">
        <f t="shared" si="11"/>
        <v>425.59999999999997</v>
      </c>
    </row>
    <row r="767" spans="1:13">
      <c r="A767" t="s">
        <v>245</v>
      </c>
      <c r="B767" t="s">
        <v>246</v>
      </c>
      <c r="C767" s="1">
        <v>39907</v>
      </c>
      <c r="D767" t="s">
        <v>75</v>
      </c>
      <c r="E767" t="s">
        <v>50</v>
      </c>
      <c r="F767" t="s">
        <v>76</v>
      </c>
      <c r="G767" t="s">
        <v>17</v>
      </c>
      <c r="H767" t="s">
        <v>158</v>
      </c>
      <c r="I767" t="s">
        <v>247</v>
      </c>
      <c r="J767" t="s">
        <v>248</v>
      </c>
      <c r="K767" s="2">
        <v>27.8</v>
      </c>
      <c r="L767">
        <v>25</v>
      </c>
      <c r="M767">
        <f t="shared" si="11"/>
        <v>695</v>
      </c>
    </row>
    <row r="768" spans="1:13">
      <c r="A768" t="s">
        <v>245</v>
      </c>
      <c r="B768" t="s">
        <v>246</v>
      </c>
      <c r="C768" s="1">
        <v>39907</v>
      </c>
      <c r="D768" t="s">
        <v>49</v>
      </c>
      <c r="E768" t="s">
        <v>50</v>
      </c>
      <c r="F768" t="s">
        <v>51</v>
      </c>
      <c r="G768" t="s">
        <v>17</v>
      </c>
      <c r="H768" t="s">
        <v>158</v>
      </c>
      <c r="I768" t="s">
        <v>247</v>
      </c>
      <c r="J768" t="s">
        <v>248</v>
      </c>
      <c r="K768" s="2">
        <v>10.4</v>
      </c>
      <c r="L768">
        <v>25</v>
      </c>
      <c r="M768">
        <f t="shared" si="11"/>
        <v>260</v>
      </c>
    </row>
    <row r="769" spans="1:13">
      <c r="A769" t="s">
        <v>245</v>
      </c>
      <c r="B769" t="s">
        <v>246</v>
      </c>
      <c r="C769" s="1">
        <v>39933</v>
      </c>
      <c r="D769" t="s">
        <v>111</v>
      </c>
      <c r="E769" t="s">
        <v>24</v>
      </c>
      <c r="F769" t="s">
        <v>37</v>
      </c>
      <c r="G769" t="s">
        <v>17</v>
      </c>
      <c r="H769" t="s">
        <v>158</v>
      </c>
      <c r="I769" t="s">
        <v>247</v>
      </c>
      <c r="J769" t="s">
        <v>248</v>
      </c>
      <c r="K769" s="2">
        <v>18</v>
      </c>
      <c r="L769">
        <v>40</v>
      </c>
      <c r="M769">
        <f t="shared" si="11"/>
        <v>720</v>
      </c>
    </row>
    <row r="770" spans="1:13">
      <c r="A770" t="s">
        <v>249</v>
      </c>
      <c r="B770" t="s">
        <v>250</v>
      </c>
      <c r="C770" s="1">
        <v>39546</v>
      </c>
      <c r="D770" t="s">
        <v>98</v>
      </c>
      <c r="E770" t="s">
        <v>53</v>
      </c>
      <c r="F770" t="s">
        <v>99</v>
      </c>
      <c r="G770" t="s">
        <v>39</v>
      </c>
      <c r="H770" t="s">
        <v>106</v>
      </c>
      <c r="I770" t="s">
        <v>190</v>
      </c>
      <c r="J770" t="s">
        <v>251</v>
      </c>
      <c r="K770" s="2">
        <v>4.5</v>
      </c>
      <c r="L770">
        <v>12</v>
      </c>
      <c r="M770">
        <f t="shared" si="11"/>
        <v>54</v>
      </c>
    </row>
    <row r="771" spans="1:13">
      <c r="A771" t="s">
        <v>249</v>
      </c>
      <c r="B771" t="s">
        <v>250</v>
      </c>
      <c r="C771" s="1">
        <v>39961</v>
      </c>
      <c r="D771" t="s">
        <v>34</v>
      </c>
      <c r="E771" t="s">
        <v>50</v>
      </c>
      <c r="F771" t="s">
        <v>35</v>
      </c>
      <c r="G771" t="s">
        <v>17</v>
      </c>
      <c r="H771" t="s">
        <v>106</v>
      </c>
      <c r="I771" t="s">
        <v>190</v>
      </c>
      <c r="J771" t="s">
        <v>251</v>
      </c>
      <c r="K771" s="2">
        <v>10</v>
      </c>
      <c r="L771">
        <v>6</v>
      </c>
      <c r="M771">
        <f t="shared" ref="M771:M834" si="12">K771*L771</f>
        <v>60</v>
      </c>
    </row>
    <row r="772" spans="1:13">
      <c r="A772" t="s">
        <v>249</v>
      </c>
      <c r="B772" t="s">
        <v>250</v>
      </c>
      <c r="C772" s="1">
        <v>39546</v>
      </c>
      <c r="D772" t="s">
        <v>86</v>
      </c>
      <c r="E772" t="s">
        <v>53</v>
      </c>
      <c r="F772" t="s">
        <v>54</v>
      </c>
      <c r="G772" t="s">
        <v>39</v>
      </c>
      <c r="H772" t="s">
        <v>106</v>
      </c>
      <c r="I772" t="s">
        <v>190</v>
      </c>
      <c r="J772" t="s">
        <v>251</v>
      </c>
      <c r="K772" s="2">
        <v>34</v>
      </c>
      <c r="L772">
        <v>9</v>
      </c>
      <c r="M772">
        <f t="shared" si="12"/>
        <v>306</v>
      </c>
    </row>
    <row r="773" spans="1:13">
      <c r="A773" t="s">
        <v>249</v>
      </c>
      <c r="B773" t="s">
        <v>250</v>
      </c>
      <c r="C773" s="1">
        <v>39520</v>
      </c>
      <c r="D773" t="s">
        <v>169</v>
      </c>
      <c r="E773" t="s">
        <v>15</v>
      </c>
      <c r="F773" t="s">
        <v>97</v>
      </c>
      <c r="G773" t="s">
        <v>39</v>
      </c>
      <c r="H773" t="s">
        <v>106</v>
      </c>
      <c r="I773" t="s">
        <v>190</v>
      </c>
      <c r="J773" t="s">
        <v>251</v>
      </c>
      <c r="K773" s="2">
        <v>16.25</v>
      </c>
      <c r="L773">
        <v>9</v>
      </c>
      <c r="M773">
        <f t="shared" si="12"/>
        <v>146.25</v>
      </c>
    </row>
    <row r="774" spans="1:13">
      <c r="A774" t="s">
        <v>249</v>
      </c>
      <c r="B774" t="s">
        <v>250</v>
      </c>
      <c r="C774" s="1">
        <v>39520</v>
      </c>
      <c r="D774" t="s">
        <v>85</v>
      </c>
      <c r="E774" t="s">
        <v>15</v>
      </c>
      <c r="F774" t="s">
        <v>33</v>
      </c>
      <c r="G774" t="s">
        <v>39</v>
      </c>
      <c r="H774" t="s">
        <v>106</v>
      </c>
      <c r="I774" t="s">
        <v>190</v>
      </c>
      <c r="J774" t="s">
        <v>251</v>
      </c>
      <c r="K774" s="2">
        <v>53</v>
      </c>
      <c r="L774">
        <v>40</v>
      </c>
      <c r="M774">
        <f t="shared" si="12"/>
        <v>2120</v>
      </c>
    </row>
    <row r="775" spans="1:13">
      <c r="A775" t="s">
        <v>249</v>
      </c>
      <c r="B775" t="s">
        <v>250</v>
      </c>
      <c r="C775" s="1">
        <v>39520</v>
      </c>
      <c r="D775" t="s">
        <v>148</v>
      </c>
      <c r="E775" t="s">
        <v>15</v>
      </c>
      <c r="F775" t="s">
        <v>16</v>
      </c>
      <c r="G775" t="s">
        <v>39</v>
      </c>
      <c r="H775" t="s">
        <v>106</v>
      </c>
      <c r="I775" t="s">
        <v>190</v>
      </c>
      <c r="J775" t="s">
        <v>251</v>
      </c>
      <c r="K775" s="2">
        <v>24</v>
      </c>
      <c r="L775">
        <v>4</v>
      </c>
      <c r="M775">
        <f t="shared" si="12"/>
        <v>96</v>
      </c>
    </row>
    <row r="776" spans="1:13">
      <c r="A776" t="s">
        <v>249</v>
      </c>
      <c r="B776" t="s">
        <v>250</v>
      </c>
      <c r="C776" s="1">
        <v>39701</v>
      </c>
      <c r="D776" t="s">
        <v>82</v>
      </c>
      <c r="E776" t="s">
        <v>50</v>
      </c>
      <c r="F776" t="s">
        <v>35</v>
      </c>
      <c r="G776" t="s">
        <v>17</v>
      </c>
      <c r="H776" t="s">
        <v>106</v>
      </c>
      <c r="I776" t="s">
        <v>190</v>
      </c>
      <c r="J776" t="s">
        <v>251</v>
      </c>
      <c r="K776" s="2">
        <v>10</v>
      </c>
      <c r="L776">
        <v>15</v>
      </c>
      <c r="M776">
        <f t="shared" si="12"/>
        <v>150</v>
      </c>
    </row>
    <row r="777" spans="1:13">
      <c r="A777" t="s">
        <v>249</v>
      </c>
      <c r="B777" t="s">
        <v>250</v>
      </c>
      <c r="C777" s="1">
        <v>39701</v>
      </c>
      <c r="D777" t="s">
        <v>95</v>
      </c>
      <c r="E777" t="s">
        <v>50</v>
      </c>
      <c r="F777" t="s">
        <v>27</v>
      </c>
      <c r="G777" t="s">
        <v>17</v>
      </c>
      <c r="H777" t="s">
        <v>106</v>
      </c>
      <c r="I777" t="s">
        <v>190</v>
      </c>
      <c r="J777" t="s">
        <v>251</v>
      </c>
      <c r="K777" s="2">
        <v>16.8</v>
      </c>
      <c r="L777">
        <v>30</v>
      </c>
      <c r="M777">
        <f t="shared" si="12"/>
        <v>504</v>
      </c>
    </row>
    <row r="778" spans="1:13">
      <c r="A778" t="s">
        <v>249</v>
      </c>
      <c r="B778" t="s">
        <v>250</v>
      </c>
      <c r="C778" s="1">
        <v>39701</v>
      </c>
      <c r="D778" t="s">
        <v>185</v>
      </c>
      <c r="E778" t="s">
        <v>50</v>
      </c>
      <c r="F778" t="s">
        <v>134</v>
      </c>
      <c r="G778" t="s">
        <v>17</v>
      </c>
      <c r="H778" t="s">
        <v>106</v>
      </c>
      <c r="I778" t="s">
        <v>190</v>
      </c>
      <c r="J778" t="s">
        <v>251</v>
      </c>
      <c r="K778" s="2">
        <v>14.7</v>
      </c>
      <c r="L778">
        <v>40</v>
      </c>
      <c r="M778">
        <f t="shared" si="12"/>
        <v>588</v>
      </c>
    </row>
    <row r="779" spans="1:13">
      <c r="A779" t="s">
        <v>249</v>
      </c>
      <c r="B779" t="s">
        <v>250</v>
      </c>
      <c r="C779" s="1">
        <v>39494</v>
      </c>
      <c r="D779" t="s">
        <v>36</v>
      </c>
      <c r="E779" t="s">
        <v>21</v>
      </c>
      <c r="F779" t="s">
        <v>37</v>
      </c>
      <c r="G779" t="s">
        <v>39</v>
      </c>
      <c r="H779" t="s">
        <v>106</v>
      </c>
      <c r="I779" t="s">
        <v>190</v>
      </c>
      <c r="J779" t="s">
        <v>251</v>
      </c>
      <c r="K779" s="2">
        <v>19</v>
      </c>
      <c r="L779">
        <v>20</v>
      </c>
      <c r="M779">
        <f t="shared" si="12"/>
        <v>380</v>
      </c>
    </row>
    <row r="780" spans="1:13">
      <c r="A780" t="s">
        <v>249</v>
      </c>
      <c r="B780" t="s">
        <v>250</v>
      </c>
      <c r="C780" s="1">
        <v>39494</v>
      </c>
      <c r="D780" t="s">
        <v>82</v>
      </c>
      <c r="E780" t="s">
        <v>21</v>
      </c>
      <c r="F780" t="s">
        <v>35</v>
      </c>
      <c r="G780" t="s">
        <v>39</v>
      </c>
      <c r="H780" t="s">
        <v>106</v>
      </c>
      <c r="I780" t="s">
        <v>190</v>
      </c>
      <c r="J780" t="s">
        <v>251</v>
      </c>
      <c r="K780" s="2">
        <v>12.5</v>
      </c>
      <c r="L780">
        <v>18</v>
      </c>
      <c r="M780">
        <f t="shared" si="12"/>
        <v>225</v>
      </c>
    </row>
    <row r="781" spans="1:13">
      <c r="A781" t="s">
        <v>249</v>
      </c>
      <c r="B781" t="s">
        <v>250</v>
      </c>
      <c r="C781" s="1">
        <v>39961</v>
      </c>
      <c r="D781" t="s">
        <v>28</v>
      </c>
      <c r="E781" t="s">
        <v>50</v>
      </c>
      <c r="F781" t="s">
        <v>29</v>
      </c>
      <c r="G781" t="s">
        <v>17</v>
      </c>
      <c r="H781" t="s">
        <v>106</v>
      </c>
      <c r="I781" t="s">
        <v>190</v>
      </c>
      <c r="J781" t="s">
        <v>251</v>
      </c>
      <c r="K781" s="2">
        <v>28.5</v>
      </c>
      <c r="L781">
        <v>10</v>
      </c>
      <c r="M781">
        <f t="shared" si="12"/>
        <v>285</v>
      </c>
    </row>
    <row r="782" spans="1:13">
      <c r="A782" t="s">
        <v>249</v>
      </c>
      <c r="B782" t="s">
        <v>250</v>
      </c>
      <c r="C782" s="1">
        <v>39961</v>
      </c>
      <c r="D782" t="s">
        <v>64</v>
      </c>
      <c r="E782" t="s">
        <v>50</v>
      </c>
      <c r="F782" t="s">
        <v>35</v>
      </c>
      <c r="G782" t="s">
        <v>17</v>
      </c>
      <c r="H782" t="s">
        <v>106</v>
      </c>
      <c r="I782" t="s">
        <v>190</v>
      </c>
      <c r="J782" t="s">
        <v>251</v>
      </c>
      <c r="K782" s="2">
        <v>9.1999999999999993</v>
      </c>
      <c r="L782">
        <v>10</v>
      </c>
      <c r="M782">
        <f t="shared" si="12"/>
        <v>92</v>
      </c>
    </row>
    <row r="783" spans="1:13">
      <c r="A783" t="s">
        <v>249</v>
      </c>
      <c r="B783" t="s">
        <v>250</v>
      </c>
      <c r="C783" s="1">
        <v>39504</v>
      </c>
      <c r="D783" t="s">
        <v>111</v>
      </c>
      <c r="E783" t="s">
        <v>15</v>
      </c>
      <c r="F783" t="s">
        <v>37</v>
      </c>
      <c r="G783" t="s">
        <v>39</v>
      </c>
      <c r="H783" t="s">
        <v>106</v>
      </c>
      <c r="I783" t="s">
        <v>190</v>
      </c>
      <c r="J783" t="s">
        <v>251</v>
      </c>
      <c r="K783" s="2">
        <v>18</v>
      </c>
      <c r="L783">
        <v>10</v>
      </c>
      <c r="M783">
        <f t="shared" si="12"/>
        <v>180</v>
      </c>
    </row>
    <row r="784" spans="1:13">
      <c r="A784" t="s">
        <v>249</v>
      </c>
      <c r="B784" t="s">
        <v>250</v>
      </c>
      <c r="C784" s="1">
        <v>39483</v>
      </c>
      <c r="D784" t="s">
        <v>147</v>
      </c>
      <c r="E784" t="s">
        <v>66</v>
      </c>
      <c r="F784" t="s">
        <v>51</v>
      </c>
      <c r="G784" t="s">
        <v>39</v>
      </c>
      <c r="H784" t="s">
        <v>106</v>
      </c>
      <c r="I784" t="s">
        <v>190</v>
      </c>
      <c r="J784" t="s">
        <v>251</v>
      </c>
      <c r="K784" s="2">
        <v>33.25</v>
      </c>
      <c r="L784">
        <v>15</v>
      </c>
      <c r="M784">
        <f t="shared" si="12"/>
        <v>498.75</v>
      </c>
    </row>
    <row r="785" spans="1:13">
      <c r="A785" t="s">
        <v>249</v>
      </c>
      <c r="B785" t="s">
        <v>250</v>
      </c>
      <c r="C785" s="1">
        <v>39504</v>
      </c>
      <c r="D785" t="s">
        <v>171</v>
      </c>
      <c r="E785" t="s">
        <v>15</v>
      </c>
      <c r="F785" t="s">
        <v>45</v>
      </c>
      <c r="G785" t="s">
        <v>39</v>
      </c>
      <c r="H785" t="s">
        <v>106</v>
      </c>
      <c r="I785" t="s">
        <v>190</v>
      </c>
      <c r="J785" t="s">
        <v>251</v>
      </c>
      <c r="K785" s="2">
        <v>14</v>
      </c>
      <c r="L785">
        <v>15</v>
      </c>
      <c r="M785">
        <f t="shared" si="12"/>
        <v>210</v>
      </c>
    </row>
    <row r="786" spans="1:13">
      <c r="A786" t="s">
        <v>249</v>
      </c>
      <c r="B786" t="s">
        <v>250</v>
      </c>
      <c r="C786" s="1">
        <v>40034</v>
      </c>
      <c r="D786" t="s">
        <v>88</v>
      </c>
      <c r="E786" t="s">
        <v>24</v>
      </c>
      <c r="F786" t="s">
        <v>51</v>
      </c>
      <c r="G786" t="s">
        <v>17</v>
      </c>
      <c r="H786" t="s">
        <v>106</v>
      </c>
      <c r="I786" t="s">
        <v>190</v>
      </c>
      <c r="J786" t="s">
        <v>251</v>
      </c>
      <c r="K786" s="2">
        <v>123.79</v>
      </c>
      <c r="L786">
        <v>20</v>
      </c>
      <c r="M786">
        <f t="shared" si="12"/>
        <v>2475.8000000000002</v>
      </c>
    </row>
    <row r="787" spans="1:13">
      <c r="A787" t="s">
        <v>249</v>
      </c>
      <c r="B787" t="s">
        <v>250</v>
      </c>
      <c r="C787" s="1">
        <v>40034</v>
      </c>
      <c r="D787" t="s">
        <v>147</v>
      </c>
      <c r="E787" t="s">
        <v>24</v>
      </c>
      <c r="F787" t="s">
        <v>51</v>
      </c>
      <c r="G787" t="s">
        <v>17</v>
      </c>
      <c r="H787" t="s">
        <v>106</v>
      </c>
      <c r="I787" t="s">
        <v>190</v>
      </c>
      <c r="J787" t="s">
        <v>251</v>
      </c>
      <c r="K787" s="2">
        <v>33.25</v>
      </c>
      <c r="L787">
        <v>9</v>
      </c>
      <c r="M787">
        <f t="shared" si="12"/>
        <v>299.25</v>
      </c>
    </row>
    <row r="788" spans="1:13">
      <c r="A788" t="s">
        <v>249</v>
      </c>
      <c r="B788" t="s">
        <v>250</v>
      </c>
      <c r="C788" s="1">
        <v>39546</v>
      </c>
      <c r="D788" t="s">
        <v>57</v>
      </c>
      <c r="E788" t="s">
        <v>53</v>
      </c>
      <c r="F788" t="s">
        <v>58</v>
      </c>
      <c r="G788" t="s">
        <v>39</v>
      </c>
      <c r="H788" t="s">
        <v>106</v>
      </c>
      <c r="I788" t="s">
        <v>190</v>
      </c>
      <c r="J788" t="s">
        <v>251</v>
      </c>
      <c r="K788" s="2">
        <v>19</v>
      </c>
      <c r="L788">
        <v>18</v>
      </c>
      <c r="M788">
        <f t="shared" si="12"/>
        <v>342</v>
      </c>
    </row>
    <row r="789" spans="1:13">
      <c r="A789" t="s">
        <v>249</v>
      </c>
      <c r="B789" t="s">
        <v>250</v>
      </c>
      <c r="C789" s="1">
        <v>39559</v>
      </c>
      <c r="D789" t="s">
        <v>116</v>
      </c>
      <c r="E789" t="s">
        <v>50</v>
      </c>
      <c r="F789" t="s">
        <v>22</v>
      </c>
      <c r="G789" t="s">
        <v>39</v>
      </c>
      <c r="H789" t="s">
        <v>106</v>
      </c>
      <c r="I789" t="s">
        <v>190</v>
      </c>
      <c r="J789" t="s">
        <v>251</v>
      </c>
      <c r="K789" s="2">
        <v>15</v>
      </c>
      <c r="L789">
        <v>4</v>
      </c>
      <c r="M789">
        <f t="shared" si="12"/>
        <v>60</v>
      </c>
    </row>
    <row r="790" spans="1:13">
      <c r="A790" t="s">
        <v>249</v>
      </c>
      <c r="B790" t="s">
        <v>250</v>
      </c>
      <c r="C790" s="1">
        <v>39484</v>
      </c>
      <c r="D790" t="s">
        <v>102</v>
      </c>
      <c r="E790" t="s">
        <v>66</v>
      </c>
      <c r="F790" t="s">
        <v>47</v>
      </c>
      <c r="G790" t="s">
        <v>39</v>
      </c>
      <c r="H790" t="s">
        <v>106</v>
      </c>
      <c r="I790" t="s">
        <v>190</v>
      </c>
      <c r="J790" t="s">
        <v>251</v>
      </c>
      <c r="K790" s="2">
        <v>31</v>
      </c>
      <c r="L790">
        <v>10</v>
      </c>
      <c r="M790">
        <f t="shared" si="12"/>
        <v>310</v>
      </c>
    </row>
    <row r="791" spans="1:13">
      <c r="A791" t="s">
        <v>249</v>
      </c>
      <c r="B791" t="s">
        <v>250</v>
      </c>
      <c r="C791" s="1">
        <v>39483</v>
      </c>
      <c r="D791" t="s">
        <v>95</v>
      </c>
      <c r="E791" t="s">
        <v>66</v>
      </c>
      <c r="F791" t="s">
        <v>27</v>
      </c>
      <c r="G791" t="s">
        <v>39</v>
      </c>
      <c r="H791" t="s">
        <v>106</v>
      </c>
      <c r="I791" t="s">
        <v>190</v>
      </c>
      <c r="J791" t="s">
        <v>251</v>
      </c>
      <c r="K791" s="2">
        <v>21.05</v>
      </c>
      <c r="L791">
        <v>21</v>
      </c>
      <c r="M791">
        <f t="shared" si="12"/>
        <v>442.05</v>
      </c>
    </row>
    <row r="792" spans="1:13">
      <c r="A792" t="s">
        <v>249</v>
      </c>
      <c r="B792" t="s">
        <v>250</v>
      </c>
      <c r="C792" s="1">
        <v>39504</v>
      </c>
      <c r="D792" t="s">
        <v>48</v>
      </c>
      <c r="E792" t="s">
        <v>15</v>
      </c>
      <c r="F792" t="s">
        <v>22</v>
      </c>
      <c r="G792" t="s">
        <v>39</v>
      </c>
      <c r="H792" t="s">
        <v>106</v>
      </c>
      <c r="I792" t="s">
        <v>190</v>
      </c>
      <c r="J792" t="s">
        <v>251</v>
      </c>
      <c r="K792" s="2">
        <v>39</v>
      </c>
      <c r="L792">
        <v>12</v>
      </c>
      <c r="M792">
        <f t="shared" si="12"/>
        <v>468</v>
      </c>
    </row>
    <row r="793" spans="1:13">
      <c r="A793" t="s">
        <v>249</v>
      </c>
      <c r="B793" t="s">
        <v>250</v>
      </c>
      <c r="C793" s="1">
        <v>39483</v>
      </c>
      <c r="D793" t="s">
        <v>148</v>
      </c>
      <c r="E793" t="s">
        <v>66</v>
      </c>
      <c r="F793" t="s">
        <v>16</v>
      </c>
      <c r="G793" t="s">
        <v>39</v>
      </c>
      <c r="H793" t="s">
        <v>106</v>
      </c>
      <c r="I793" t="s">
        <v>190</v>
      </c>
      <c r="J793" t="s">
        <v>251</v>
      </c>
      <c r="K793" s="2">
        <v>24</v>
      </c>
      <c r="L793">
        <v>10</v>
      </c>
      <c r="M793">
        <f t="shared" si="12"/>
        <v>240</v>
      </c>
    </row>
    <row r="794" spans="1:13">
      <c r="A794" t="s">
        <v>249</v>
      </c>
      <c r="B794" t="s">
        <v>250</v>
      </c>
      <c r="C794" s="1">
        <v>39961</v>
      </c>
      <c r="D794" t="s">
        <v>48</v>
      </c>
      <c r="E794" t="s">
        <v>50</v>
      </c>
      <c r="F794" t="s">
        <v>22</v>
      </c>
      <c r="G794" t="s">
        <v>17</v>
      </c>
      <c r="H794" t="s">
        <v>106</v>
      </c>
      <c r="I794" t="s">
        <v>190</v>
      </c>
      <c r="J794" t="s">
        <v>251</v>
      </c>
      <c r="K794" s="2">
        <v>39</v>
      </c>
      <c r="L794">
        <v>8</v>
      </c>
      <c r="M794">
        <f t="shared" si="12"/>
        <v>312</v>
      </c>
    </row>
    <row r="795" spans="1:13">
      <c r="A795" t="s">
        <v>249</v>
      </c>
      <c r="B795" t="s">
        <v>250</v>
      </c>
      <c r="C795" s="1">
        <v>39483</v>
      </c>
      <c r="D795" t="s">
        <v>38</v>
      </c>
      <c r="E795" t="s">
        <v>66</v>
      </c>
      <c r="F795" t="s">
        <v>29</v>
      </c>
      <c r="G795" t="s">
        <v>39</v>
      </c>
      <c r="H795" t="s">
        <v>106</v>
      </c>
      <c r="I795" t="s">
        <v>190</v>
      </c>
      <c r="J795" t="s">
        <v>251</v>
      </c>
      <c r="K795" s="2">
        <v>49.3</v>
      </c>
      <c r="L795">
        <v>20</v>
      </c>
      <c r="M795">
        <f t="shared" si="12"/>
        <v>986</v>
      </c>
    </row>
    <row r="796" spans="1:13">
      <c r="A796" t="s">
        <v>252</v>
      </c>
      <c r="B796" t="s">
        <v>253</v>
      </c>
      <c r="C796" s="1">
        <v>39513</v>
      </c>
      <c r="D796" t="s">
        <v>148</v>
      </c>
      <c r="E796" t="s">
        <v>24</v>
      </c>
      <c r="F796" t="s">
        <v>16</v>
      </c>
      <c r="G796" t="s">
        <v>39</v>
      </c>
      <c r="H796" t="s">
        <v>158</v>
      </c>
      <c r="I796" t="s">
        <v>203</v>
      </c>
      <c r="J796" t="s">
        <v>254</v>
      </c>
      <c r="K796" s="2">
        <v>24</v>
      </c>
      <c r="L796">
        <v>25</v>
      </c>
      <c r="M796">
        <f t="shared" si="12"/>
        <v>600</v>
      </c>
    </row>
    <row r="797" spans="1:13">
      <c r="A797" t="s">
        <v>252</v>
      </c>
      <c r="B797" t="s">
        <v>253</v>
      </c>
      <c r="C797" s="1">
        <v>39513</v>
      </c>
      <c r="D797" t="s">
        <v>34</v>
      </c>
      <c r="E797" t="s">
        <v>24</v>
      </c>
      <c r="F797" t="s">
        <v>35</v>
      </c>
      <c r="G797" t="s">
        <v>39</v>
      </c>
      <c r="H797" t="s">
        <v>158</v>
      </c>
      <c r="I797" t="s">
        <v>203</v>
      </c>
      <c r="J797" t="s">
        <v>254</v>
      </c>
      <c r="K797" s="2">
        <v>10</v>
      </c>
      <c r="L797">
        <v>36</v>
      </c>
      <c r="M797">
        <f t="shared" si="12"/>
        <v>360</v>
      </c>
    </row>
    <row r="798" spans="1:13">
      <c r="A798" t="s">
        <v>252</v>
      </c>
      <c r="B798" t="s">
        <v>253</v>
      </c>
      <c r="C798" s="1">
        <v>39870</v>
      </c>
      <c r="D798" t="s">
        <v>30</v>
      </c>
      <c r="E798" t="s">
        <v>50</v>
      </c>
      <c r="F798" t="s">
        <v>31</v>
      </c>
      <c r="G798" t="s">
        <v>17</v>
      </c>
      <c r="H798" t="s">
        <v>158</v>
      </c>
      <c r="I798" t="s">
        <v>203</v>
      </c>
      <c r="J798" t="s">
        <v>254</v>
      </c>
      <c r="K798" s="2">
        <v>24.9</v>
      </c>
      <c r="L798">
        <v>30</v>
      </c>
      <c r="M798">
        <f t="shared" si="12"/>
        <v>747</v>
      </c>
    </row>
    <row r="799" spans="1:13">
      <c r="A799" t="s">
        <v>252</v>
      </c>
      <c r="B799" t="s">
        <v>253</v>
      </c>
      <c r="C799" s="1">
        <v>39558</v>
      </c>
      <c r="D799" t="s">
        <v>14</v>
      </c>
      <c r="E799" t="s">
        <v>53</v>
      </c>
      <c r="F799" t="s">
        <v>16</v>
      </c>
      <c r="G799" t="s">
        <v>39</v>
      </c>
      <c r="H799" t="s">
        <v>158</v>
      </c>
      <c r="I799" t="s">
        <v>203</v>
      </c>
      <c r="J799" t="s">
        <v>254</v>
      </c>
      <c r="K799" s="2">
        <v>7.45</v>
      </c>
      <c r="L799">
        <v>10</v>
      </c>
      <c r="M799">
        <f t="shared" si="12"/>
        <v>74.5</v>
      </c>
    </row>
    <row r="800" spans="1:13">
      <c r="A800" t="s">
        <v>252</v>
      </c>
      <c r="B800" t="s">
        <v>253</v>
      </c>
      <c r="C800" s="1">
        <v>39558</v>
      </c>
      <c r="D800" t="s">
        <v>44</v>
      </c>
      <c r="E800" t="s">
        <v>53</v>
      </c>
      <c r="F800" t="s">
        <v>45</v>
      </c>
      <c r="G800" t="s">
        <v>39</v>
      </c>
      <c r="H800" t="s">
        <v>158</v>
      </c>
      <c r="I800" t="s">
        <v>203</v>
      </c>
      <c r="J800" t="s">
        <v>254</v>
      </c>
      <c r="K800" s="2">
        <v>18</v>
      </c>
      <c r="L800">
        <v>60</v>
      </c>
      <c r="M800">
        <f t="shared" si="12"/>
        <v>1080</v>
      </c>
    </row>
    <row r="801" spans="1:13">
      <c r="A801" t="s">
        <v>252</v>
      </c>
      <c r="B801" t="s">
        <v>253</v>
      </c>
      <c r="C801" s="1">
        <v>39558</v>
      </c>
      <c r="D801" t="s">
        <v>110</v>
      </c>
      <c r="E801" t="s">
        <v>53</v>
      </c>
      <c r="F801" t="s">
        <v>74</v>
      </c>
      <c r="G801" t="s">
        <v>39</v>
      </c>
      <c r="H801" t="s">
        <v>158</v>
      </c>
      <c r="I801" t="s">
        <v>203</v>
      </c>
      <c r="J801" t="s">
        <v>254</v>
      </c>
      <c r="K801" s="2">
        <v>14</v>
      </c>
      <c r="L801">
        <v>30</v>
      </c>
      <c r="M801">
        <f t="shared" si="12"/>
        <v>420</v>
      </c>
    </row>
    <row r="802" spans="1:13">
      <c r="A802" t="s">
        <v>252</v>
      </c>
      <c r="B802" t="s">
        <v>253</v>
      </c>
      <c r="C802" s="1">
        <v>39559</v>
      </c>
      <c r="D802" t="s">
        <v>185</v>
      </c>
      <c r="E802" t="s">
        <v>21</v>
      </c>
      <c r="F802" t="s">
        <v>134</v>
      </c>
      <c r="G802" t="s">
        <v>39</v>
      </c>
      <c r="H802" t="s">
        <v>158</v>
      </c>
      <c r="I802" t="s">
        <v>203</v>
      </c>
      <c r="J802" t="s">
        <v>254</v>
      </c>
      <c r="K802" s="2">
        <v>18.399999999999999</v>
      </c>
      <c r="L802">
        <v>5</v>
      </c>
      <c r="M802">
        <f t="shared" si="12"/>
        <v>92</v>
      </c>
    </row>
    <row r="803" spans="1:13">
      <c r="A803" t="s">
        <v>252</v>
      </c>
      <c r="B803" t="s">
        <v>253</v>
      </c>
      <c r="C803" s="1">
        <v>39870</v>
      </c>
      <c r="D803" t="s">
        <v>121</v>
      </c>
      <c r="E803" t="s">
        <v>50</v>
      </c>
      <c r="F803" t="s">
        <v>41</v>
      </c>
      <c r="G803" t="s">
        <v>17</v>
      </c>
      <c r="H803" t="s">
        <v>158</v>
      </c>
      <c r="I803" t="s">
        <v>203</v>
      </c>
      <c r="J803" t="s">
        <v>254</v>
      </c>
      <c r="K803" s="2">
        <v>17.2</v>
      </c>
      <c r="L803">
        <v>50</v>
      </c>
      <c r="M803">
        <f t="shared" si="12"/>
        <v>860</v>
      </c>
    </row>
    <row r="804" spans="1:13">
      <c r="A804" t="s">
        <v>252</v>
      </c>
      <c r="B804" t="s">
        <v>253</v>
      </c>
      <c r="C804" s="1">
        <v>39558</v>
      </c>
      <c r="D804" t="s">
        <v>111</v>
      </c>
      <c r="E804" t="s">
        <v>53</v>
      </c>
      <c r="F804" t="s">
        <v>37</v>
      </c>
      <c r="G804" t="s">
        <v>39</v>
      </c>
      <c r="H804" t="s">
        <v>158</v>
      </c>
      <c r="I804" t="s">
        <v>203</v>
      </c>
      <c r="J804" t="s">
        <v>254</v>
      </c>
      <c r="K804" s="2">
        <v>18</v>
      </c>
      <c r="L804">
        <v>10</v>
      </c>
      <c r="M804">
        <f t="shared" si="12"/>
        <v>180</v>
      </c>
    </row>
    <row r="805" spans="1:13">
      <c r="A805" t="s">
        <v>252</v>
      </c>
      <c r="B805" t="s">
        <v>253</v>
      </c>
      <c r="C805" s="1">
        <v>39469</v>
      </c>
      <c r="D805" t="s">
        <v>179</v>
      </c>
      <c r="E805" t="s">
        <v>53</v>
      </c>
      <c r="F805" t="s">
        <v>47</v>
      </c>
      <c r="G805" t="s">
        <v>39</v>
      </c>
      <c r="H805" t="s">
        <v>158</v>
      </c>
      <c r="I805" t="s">
        <v>203</v>
      </c>
      <c r="J805" t="s">
        <v>254</v>
      </c>
      <c r="K805" s="2">
        <v>10</v>
      </c>
      <c r="L805">
        <v>20</v>
      </c>
      <c r="M805">
        <f t="shared" si="12"/>
        <v>200</v>
      </c>
    </row>
    <row r="806" spans="1:13">
      <c r="A806" t="s">
        <v>252</v>
      </c>
      <c r="B806" t="s">
        <v>253</v>
      </c>
      <c r="C806" s="1">
        <v>39559</v>
      </c>
      <c r="D806" t="s">
        <v>120</v>
      </c>
      <c r="E806" t="s">
        <v>21</v>
      </c>
      <c r="F806" t="s">
        <v>33</v>
      </c>
      <c r="G806" t="s">
        <v>39</v>
      </c>
      <c r="H806" t="s">
        <v>158</v>
      </c>
      <c r="I806" t="s">
        <v>203</v>
      </c>
      <c r="J806" t="s">
        <v>254</v>
      </c>
      <c r="K806" s="2">
        <v>7</v>
      </c>
      <c r="L806">
        <v>2</v>
      </c>
      <c r="M806">
        <f t="shared" si="12"/>
        <v>14</v>
      </c>
    </row>
    <row r="807" spans="1:13">
      <c r="A807" t="s">
        <v>252</v>
      </c>
      <c r="B807" t="s">
        <v>253</v>
      </c>
      <c r="C807" s="1">
        <v>39559</v>
      </c>
      <c r="D807" t="s">
        <v>121</v>
      </c>
      <c r="E807" t="s">
        <v>21</v>
      </c>
      <c r="F807" t="s">
        <v>41</v>
      </c>
      <c r="G807" t="s">
        <v>39</v>
      </c>
      <c r="H807" t="s">
        <v>158</v>
      </c>
      <c r="I807" t="s">
        <v>203</v>
      </c>
      <c r="J807" t="s">
        <v>254</v>
      </c>
      <c r="K807" s="2">
        <v>21.5</v>
      </c>
      <c r="L807">
        <v>30</v>
      </c>
      <c r="M807">
        <f t="shared" si="12"/>
        <v>645</v>
      </c>
    </row>
    <row r="808" spans="1:13">
      <c r="A808" t="s">
        <v>252</v>
      </c>
      <c r="B808" t="s">
        <v>253</v>
      </c>
      <c r="C808" s="1">
        <v>39886</v>
      </c>
      <c r="D808" t="s">
        <v>137</v>
      </c>
      <c r="E808" t="s">
        <v>103</v>
      </c>
      <c r="F808" t="s">
        <v>76</v>
      </c>
      <c r="G808" t="s">
        <v>17</v>
      </c>
      <c r="H808" t="s">
        <v>158</v>
      </c>
      <c r="I808" t="s">
        <v>203</v>
      </c>
      <c r="J808" t="s">
        <v>254</v>
      </c>
      <c r="K808" s="2">
        <v>10</v>
      </c>
      <c r="L808">
        <v>35</v>
      </c>
      <c r="M808">
        <f t="shared" si="12"/>
        <v>350</v>
      </c>
    </row>
    <row r="809" spans="1:13">
      <c r="A809" t="s">
        <v>252</v>
      </c>
      <c r="B809" t="s">
        <v>253</v>
      </c>
      <c r="C809" s="1">
        <v>40061</v>
      </c>
      <c r="D809" t="s">
        <v>110</v>
      </c>
      <c r="E809" t="s">
        <v>24</v>
      </c>
      <c r="F809" t="s">
        <v>74</v>
      </c>
      <c r="G809" t="s">
        <v>39</v>
      </c>
      <c r="H809" t="s">
        <v>158</v>
      </c>
      <c r="I809" t="s">
        <v>203</v>
      </c>
      <c r="J809" t="s">
        <v>254</v>
      </c>
      <c r="K809" s="2">
        <v>14</v>
      </c>
      <c r="L809">
        <v>2</v>
      </c>
      <c r="M809">
        <f t="shared" si="12"/>
        <v>28</v>
      </c>
    </row>
    <row r="810" spans="1:13">
      <c r="A810" t="s">
        <v>252</v>
      </c>
      <c r="B810" t="s">
        <v>253</v>
      </c>
      <c r="C810" s="1">
        <v>39886</v>
      </c>
      <c r="D810" t="s">
        <v>152</v>
      </c>
      <c r="E810" t="s">
        <v>103</v>
      </c>
      <c r="F810" t="s">
        <v>27</v>
      </c>
      <c r="G810" t="s">
        <v>17</v>
      </c>
      <c r="H810" t="s">
        <v>158</v>
      </c>
      <c r="I810" t="s">
        <v>203</v>
      </c>
      <c r="J810" t="s">
        <v>254</v>
      </c>
      <c r="K810" s="2">
        <v>13.6</v>
      </c>
      <c r="L810">
        <v>60</v>
      </c>
      <c r="M810">
        <f t="shared" si="12"/>
        <v>816</v>
      </c>
    </row>
    <row r="811" spans="1:13">
      <c r="A811" t="s">
        <v>252</v>
      </c>
      <c r="B811" t="s">
        <v>253</v>
      </c>
      <c r="C811" s="1">
        <v>39886</v>
      </c>
      <c r="D811" t="s">
        <v>96</v>
      </c>
      <c r="E811" t="s">
        <v>103</v>
      </c>
      <c r="F811" t="s">
        <v>97</v>
      </c>
      <c r="G811" t="s">
        <v>17</v>
      </c>
      <c r="H811" t="s">
        <v>158</v>
      </c>
      <c r="I811" t="s">
        <v>203</v>
      </c>
      <c r="J811" t="s">
        <v>254</v>
      </c>
      <c r="K811" s="2">
        <v>14.4</v>
      </c>
      <c r="L811">
        <v>42</v>
      </c>
      <c r="M811">
        <f t="shared" si="12"/>
        <v>604.80000000000007</v>
      </c>
    </row>
    <row r="812" spans="1:13">
      <c r="A812" t="s">
        <v>252</v>
      </c>
      <c r="B812" t="s">
        <v>253</v>
      </c>
      <c r="C812" s="1">
        <v>39870</v>
      </c>
      <c r="D812" t="s">
        <v>94</v>
      </c>
      <c r="E812" t="s">
        <v>50</v>
      </c>
      <c r="F812" t="s">
        <v>74</v>
      </c>
      <c r="G812" t="s">
        <v>17</v>
      </c>
      <c r="H812" t="s">
        <v>158</v>
      </c>
      <c r="I812" t="s">
        <v>203</v>
      </c>
      <c r="J812" t="s">
        <v>254</v>
      </c>
      <c r="K812" s="2">
        <v>36.799999999999997</v>
      </c>
      <c r="L812">
        <v>20</v>
      </c>
      <c r="M812">
        <f t="shared" si="12"/>
        <v>736</v>
      </c>
    </row>
    <row r="813" spans="1:13">
      <c r="A813" t="s">
        <v>252</v>
      </c>
      <c r="B813" t="s">
        <v>253</v>
      </c>
      <c r="C813" s="1">
        <v>39469</v>
      </c>
      <c r="D813" t="s">
        <v>116</v>
      </c>
      <c r="E813" t="s">
        <v>53</v>
      </c>
      <c r="F813" t="s">
        <v>22</v>
      </c>
      <c r="G813" t="s">
        <v>39</v>
      </c>
      <c r="H813" t="s">
        <v>158</v>
      </c>
      <c r="I813" t="s">
        <v>203</v>
      </c>
      <c r="J813" t="s">
        <v>254</v>
      </c>
      <c r="K813" s="2">
        <v>15</v>
      </c>
      <c r="L813">
        <v>30</v>
      </c>
      <c r="M813">
        <f t="shared" si="12"/>
        <v>450</v>
      </c>
    </row>
    <row r="814" spans="1:13">
      <c r="A814" t="s">
        <v>252</v>
      </c>
      <c r="B814" t="s">
        <v>253</v>
      </c>
      <c r="C814" s="1">
        <v>39467</v>
      </c>
      <c r="D814" t="s">
        <v>102</v>
      </c>
      <c r="E814" t="s">
        <v>66</v>
      </c>
      <c r="F814" t="s">
        <v>47</v>
      </c>
      <c r="G814" t="s">
        <v>39</v>
      </c>
      <c r="H814" t="s">
        <v>158</v>
      </c>
      <c r="I814" t="s">
        <v>203</v>
      </c>
      <c r="J814" t="s">
        <v>254</v>
      </c>
      <c r="K814" s="2">
        <v>31</v>
      </c>
      <c r="L814">
        <v>16</v>
      </c>
      <c r="M814">
        <f t="shared" si="12"/>
        <v>496</v>
      </c>
    </row>
    <row r="815" spans="1:13">
      <c r="A815" t="s">
        <v>252</v>
      </c>
      <c r="B815" t="s">
        <v>253</v>
      </c>
      <c r="C815" s="1">
        <v>39701</v>
      </c>
      <c r="D815" t="s">
        <v>94</v>
      </c>
      <c r="E815" t="s">
        <v>24</v>
      </c>
      <c r="F815" t="s">
        <v>74</v>
      </c>
      <c r="G815" t="s">
        <v>17</v>
      </c>
      <c r="H815" t="s">
        <v>158</v>
      </c>
      <c r="I815" t="s">
        <v>203</v>
      </c>
      <c r="J815" t="s">
        <v>254</v>
      </c>
      <c r="K815" s="2">
        <v>36.799999999999997</v>
      </c>
      <c r="L815">
        <v>12</v>
      </c>
      <c r="M815">
        <f t="shared" si="12"/>
        <v>441.59999999999997</v>
      </c>
    </row>
    <row r="816" spans="1:13">
      <c r="A816" t="s">
        <v>252</v>
      </c>
      <c r="B816" t="s">
        <v>253</v>
      </c>
      <c r="C816" s="1">
        <v>39701</v>
      </c>
      <c r="D816" t="s">
        <v>77</v>
      </c>
      <c r="E816" t="s">
        <v>24</v>
      </c>
      <c r="F816" t="s">
        <v>51</v>
      </c>
      <c r="G816" t="s">
        <v>17</v>
      </c>
      <c r="H816" t="s">
        <v>158</v>
      </c>
      <c r="I816" t="s">
        <v>203</v>
      </c>
      <c r="J816" t="s">
        <v>254</v>
      </c>
      <c r="K816" s="2">
        <v>36.4</v>
      </c>
      <c r="L816">
        <v>28</v>
      </c>
      <c r="M816">
        <f t="shared" si="12"/>
        <v>1019.1999999999999</v>
      </c>
    </row>
    <row r="817" spans="1:13">
      <c r="A817" t="s">
        <v>252</v>
      </c>
      <c r="B817" t="s">
        <v>253</v>
      </c>
      <c r="C817" s="1">
        <v>39701</v>
      </c>
      <c r="D817" t="s">
        <v>48</v>
      </c>
      <c r="E817" t="s">
        <v>24</v>
      </c>
      <c r="F817" t="s">
        <v>22</v>
      </c>
      <c r="G817" t="s">
        <v>17</v>
      </c>
      <c r="H817" t="s">
        <v>158</v>
      </c>
      <c r="I817" t="s">
        <v>203</v>
      </c>
      <c r="J817" t="s">
        <v>254</v>
      </c>
      <c r="K817" s="2">
        <v>31.2</v>
      </c>
      <c r="L817">
        <v>40</v>
      </c>
      <c r="M817">
        <f t="shared" si="12"/>
        <v>1248</v>
      </c>
    </row>
    <row r="818" spans="1:13">
      <c r="A818" t="s">
        <v>252</v>
      </c>
      <c r="B818" t="s">
        <v>253</v>
      </c>
      <c r="C818" s="1">
        <v>39513</v>
      </c>
      <c r="D818" t="s">
        <v>150</v>
      </c>
      <c r="E818" t="s">
        <v>24</v>
      </c>
      <c r="F818" t="s">
        <v>31</v>
      </c>
      <c r="G818" t="s">
        <v>39</v>
      </c>
      <c r="H818" t="s">
        <v>158</v>
      </c>
      <c r="I818" t="s">
        <v>203</v>
      </c>
      <c r="J818" t="s">
        <v>254</v>
      </c>
      <c r="K818" s="2">
        <v>43.9</v>
      </c>
      <c r="L818">
        <v>25</v>
      </c>
      <c r="M818">
        <f t="shared" si="12"/>
        <v>1097.5</v>
      </c>
    </row>
    <row r="819" spans="1:13">
      <c r="A819" t="s">
        <v>252</v>
      </c>
      <c r="B819" t="s">
        <v>253</v>
      </c>
      <c r="C819" s="1">
        <v>39870</v>
      </c>
      <c r="D819" t="s">
        <v>62</v>
      </c>
      <c r="E819" t="s">
        <v>50</v>
      </c>
      <c r="F819" t="s">
        <v>63</v>
      </c>
      <c r="G819" t="s">
        <v>17</v>
      </c>
      <c r="H819" t="s">
        <v>158</v>
      </c>
      <c r="I819" t="s">
        <v>203</v>
      </c>
      <c r="J819" t="s">
        <v>254</v>
      </c>
      <c r="K819" s="2">
        <v>30.4</v>
      </c>
      <c r="L819">
        <v>15</v>
      </c>
      <c r="M819">
        <f t="shared" si="12"/>
        <v>456</v>
      </c>
    </row>
    <row r="820" spans="1:13">
      <c r="A820" t="s">
        <v>252</v>
      </c>
      <c r="B820" t="s">
        <v>253</v>
      </c>
      <c r="C820" s="1">
        <v>39876</v>
      </c>
      <c r="D820" t="s">
        <v>64</v>
      </c>
      <c r="E820" t="s">
        <v>66</v>
      </c>
      <c r="F820" t="s">
        <v>35</v>
      </c>
      <c r="G820" t="s">
        <v>17</v>
      </c>
      <c r="H820" t="s">
        <v>158</v>
      </c>
      <c r="I820" t="s">
        <v>203</v>
      </c>
      <c r="J820" t="s">
        <v>254</v>
      </c>
      <c r="K820" s="2">
        <v>7.3</v>
      </c>
      <c r="L820">
        <v>21</v>
      </c>
      <c r="M820">
        <f t="shared" si="12"/>
        <v>153.29999999999998</v>
      </c>
    </row>
    <row r="821" spans="1:13">
      <c r="A821" t="s">
        <v>252</v>
      </c>
      <c r="B821" t="s">
        <v>253</v>
      </c>
      <c r="C821" s="1">
        <v>39870</v>
      </c>
      <c r="D821" t="s">
        <v>77</v>
      </c>
      <c r="E821" t="s">
        <v>50</v>
      </c>
      <c r="F821" t="s">
        <v>51</v>
      </c>
      <c r="G821" t="s">
        <v>17</v>
      </c>
      <c r="H821" t="s">
        <v>158</v>
      </c>
      <c r="I821" t="s">
        <v>203</v>
      </c>
      <c r="J821" t="s">
        <v>254</v>
      </c>
      <c r="K821" s="2">
        <v>36.4</v>
      </c>
      <c r="L821">
        <v>30</v>
      </c>
      <c r="M821">
        <f t="shared" si="12"/>
        <v>1092</v>
      </c>
    </row>
    <row r="822" spans="1:13">
      <c r="A822" t="s">
        <v>252</v>
      </c>
      <c r="B822" t="s">
        <v>253</v>
      </c>
      <c r="C822" s="1">
        <v>39469</v>
      </c>
      <c r="D822" t="s">
        <v>26</v>
      </c>
      <c r="E822" t="s">
        <v>53</v>
      </c>
      <c r="F822" t="s">
        <v>27</v>
      </c>
      <c r="G822" t="s">
        <v>39</v>
      </c>
      <c r="H822" t="s">
        <v>158</v>
      </c>
      <c r="I822" t="s">
        <v>203</v>
      </c>
      <c r="J822" t="s">
        <v>254</v>
      </c>
      <c r="K822" s="2">
        <v>22</v>
      </c>
      <c r="L822">
        <v>21</v>
      </c>
      <c r="M822">
        <f t="shared" si="12"/>
        <v>462</v>
      </c>
    </row>
    <row r="823" spans="1:13">
      <c r="A823" t="s">
        <v>252</v>
      </c>
      <c r="B823" t="s">
        <v>253</v>
      </c>
      <c r="C823" s="1">
        <v>39487</v>
      </c>
      <c r="D823" t="s">
        <v>98</v>
      </c>
      <c r="E823" t="s">
        <v>89</v>
      </c>
      <c r="F823" t="s">
        <v>99</v>
      </c>
      <c r="G823" t="s">
        <v>39</v>
      </c>
      <c r="H823" t="s">
        <v>158</v>
      </c>
      <c r="I823" t="s">
        <v>203</v>
      </c>
      <c r="J823" t="s">
        <v>254</v>
      </c>
      <c r="K823" s="2">
        <v>4.5</v>
      </c>
      <c r="L823">
        <v>12</v>
      </c>
      <c r="M823">
        <f t="shared" si="12"/>
        <v>54</v>
      </c>
    </row>
    <row r="824" spans="1:13">
      <c r="A824" t="s">
        <v>252</v>
      </c>
      <c r="B824" t="s">
        <v>253</v>
      </c>
      <c r="C824" s="1">
        <v>39638</v>
      </c>
      <c r="D824" t="s">
        <v>136</v>
      </c>
      <c r="E824" t="s">
        <v>24</v>
      </c>
      <c r="F824" t="s">
        <v>35</v>
      </c>
      <c r="G824" t="s">
        <v>17</v>
      </c>
      <c r="H824" t="s">
        <v>158</v>
      </c>
      <c r="I824" t="s">
        <v>203</v>
      </c>
      <c r="J824" t="s">
        <v>254</v>
      </c>
      <c r="K824" s="2">
        <v>64.8</v>
      </c>
      <c r="L824">
        <v>40</v>
      </c>
      <c r="M824">
        <f t="shared" si="12"/>
        <v>2592</v>
      </c>
    </row>
    <row r="825" spans="1:13">
      <c r="A825" t="s">
        <v>252</v>
      </c>
      <c r="B825" t="s">
        <v>253</v>
      </c>
      <c r="C825" s="1">
        <v>39638</v>
      </c>
      <c r="D825" t="s">
        <v>86</v>
      </c>
      <c r="E825" t="s">
        <v>24</v>
      </c>
      <c r="F825" t="s">
        <v>54</v>
      </c>
      <c r="G825" t="s">
        <v>17</v>
      </c>
      <c r="H825" t="s">
        <v>158</v>
      </c>
      <c r="I825" t="s">
        <v>203</v>
      </c>
      <c r="J825" t="s">
        <v>254</v>
      </c>
      <c r="K825" s="2">
        <v>27.2</v>
      </c>
      <c r="L825">
        <v>40</v>
      </c>
      <c r="M825">
        <f t="shared" si="12"/>
        <v>1088</v>
      </c>
    </row>
    <row r="826" spans="1:13">
      <c r="A826" t="s">
        <v>252</v>
      </c>
      <c r="B826" t="s">
        <v>253</v>
      </c>
      <c r="C826" s="1">
        <v>39487</v>
      </c>
      <c r="D826" t="s">
        <v>49</v>
      </c>
      <c r="E826" t="s">
        <v>89</v>
      </c>
      <c r="F826" t="s">
        <v>51</v>
      </c>
      <c r="G826" t="s">
        <v>39</v>
      </c>
      <c r="H826" t="s">
        <v>158</v>
      </c>
      <c r="I826" t="s">
        <v>203</v>
      </c>
      <c r="J826" t="s">
        <v>254</v>
      </c>
      <c r="K826" s="2">
        <v>13</v>
      </c>
      <c r="L826">
        <v>25</v>
      </c>
      <c r="M826">
        <f t="shared" si="12"/>
        <v>325</v>
      </c>
    </row>
    <row r="827" spans="1:13">
      <c r="A827" t="s">
        <v>252</v>
      </c>
      <c r="B827" t="s">
        <v>253</v>
      </c>
      <c r="C827" s="1">
        <v>39487</v>
      </c>
      <c r="D827" t="s">
        <v>116</v>
      </c>
      <c r="E827" t="s">
        <v>89</v>
      </c>
      <c r="F827" t="s">
        <v>22</v>
      </c>
      <c r="G827" t="s">
        <v>39</v>
      </c>
      <c r="H827" t="s">
        <v>158</v>
      </c>
      <c r="I827" t="s">
        <v>203</v>
      </c>
      <c r="J827" t="s">
        <v>254</v>
      </c>
      <c r="K827" s="2">
        <v>15</v>
      </c>
      <c r="L827">
        <v>30</v>
      </c>
      <c r="M827">
        <f t="shared" si="12"/>
        <v>450</v>
      </c>
    </row>
    <row r="828" spans="1:13">
      <c r="A828" t="s">
        <v>252</v>
      </c>
      <c r="B828" t="s">
        <v>253</v>
      </c>
      <c r="C828" s="1">
        <v>39467</v>
      </c>
      <c r="D828" t="s">
        <v>49</v>
      </c>
      <c r="E828" t="s">
        <v>66</v>
      </c>
      <c r="F828" t="s">
        <v>51</v>
      </c>
      <c r="G828" t="s">
        <v>39</v>
      </c>
      <c r="H828" t="s">
        <v>158</v>
      </c>
      <c r="I828" t="s">
        <v>203</v>
      </c>
      <c r="J828" t="s">
        <v>254</v>
      </c>
      <c r="K828" s="2">
        <v>13</v>
      </c>
      <c r="L828">
        <v>15</v>
      </c>
      <c r="M828">
        <f t="shared" si="12"/>
        <v>195</v>
      </c>
    </row>
    <row r="829" spans="1:13">
      <c r="A829" t="s">
        <v>252</v>
      </c>
      <c r="B829" t="s">
        <v>253</v>
      </c>
      <c r="C829" s="1">
        <v>39487</v>
      </c>
      <c r="D829" t="s">
        <v>36</v>
      </c>
      <c r="E829" t="s">
        <v>89</v>
      </c>
      <c r="F829" t="s">
        <v>37</v>
      </c>
      <c r="G829" t="s">
        <v>39</v>
      </c>
      <c r="H829" t="s">
        <v>158</v>
      </c>
      <c r="I829" t="s">
        <v>203</v>
      </c>
      <c r="J829" t="s">
        <v>254</v>
      </c>
      <c r="K829" s="2">
        <v>19</v>
      </c>
      <c r="L829">
        <v>20</v>
      </c>
      <c r="M829">
        <f t="shared" si="12"/>
        <v>380</v>
      </c>
    </row>
    <row r="830" spans="1:13">
      <c r="A830" t="s">
        <v>252</v>
      </c>
      <c r="B830" t="s">
        <v>253</v>
      </c>
      <c r="C830" s="1">
        <v>39467</v>
      </c>
      <c r="D830" t="s">
        <v>52</v>
      </c>
      <c r="E830" t="s">
        <v>66</v>
      </c>
      <c r="F830" t="s">
        <v>54</v>
      </c>
      <c r="G830" t="s">
        <v>39</v>
      </c>
      <c r="H830" t="s">
        <v>158</v>
      </c>
      <c r="I830" t="s">
        <v>203</v>
      </c>
      <c r="J830" t="s">
        <v>254</v>
      </c>
      <c r="K830" s="2">
        <v>55</v>
      </c>
      <c r="L830">
        <v>50</v>
      </c>
      <c r="M830">
        <f t="shared" si="12"/>
        <v>2750</v>
      </c>
    </row>
    <row r="831" spans="1:13">
      <c r="A831" t="s">
        <v>252</v>
      </c>
      <c r="B831" t="s">
        <v>253</v>
      </c>
      <c r="C831" s="1">
        <v>39467</v>
      </c>
      <c r="D831" t="s">
        <v>62</v>
      </c>
      <c r="E831" t="s">
        <v>66</v>
      </c>
      <c r="F831" t="s">
        <v>63</v>
      </c>
      <c r="G831" t="s">
        <v>39</v>
      </c>
      <c r="H831" t="s">
        <v>158</v>
      </c>
      <c r="I831" t="s">
        <v>203</v>
      </c>
      <c r="J831" t="s">
        <v>254</v>
      </c>
      <c r="K831" s="2">
        <v>38</v>
      </c>
      <c r="L831">
        <v>30</v>
      </c>
      <c r="M831">
        <f t="shared" si="12"/>
        <v>1140</v>
      </c>
    </row>
    <row r="832" spans="1:13">
      <c r="A832" t="s">
        <v>252</v>
      </c>
      <c r="B832" t="s">
        <v>253</v>
      </c>
      <c r="C832" s="1">
        <v>39513</v>
      </c>
      <c r="D832" t="s">
        <v>68</v>
      </c>
      <c r="E832" t="s">
        <v>24</v>
      </c>
      <c r="F832" t="s">
        <v>69</v>
      </c>
      <c r="G832" t="s">
        <v>39</v>
      </c>
      <c r="H832" t="s">
        <v>158</v>
      </c>
      <c r="I832" t="s">
        <v>203</v>
      </c>
      <c r="J832" t="s">
        <v>254</v>
      </c>
      <c r="K832" s="2">
        <v>13.25</v>
      </c>
      <c r="L832">
        <v>30</v>
      </c>
      <c r="M832">
        <f t="shared" si="12"/>
        <v>397.5</v>
      </c>
    </row>
    <row r="833" spans="1:13">
      <c r="A833" t="s">
        <v>252</v>
      </c>
      <c r="B833" t="s">
        <v>253</v>
      </c>
      <c r="C833" s="1">
        <v>39876</v>
      </c>
      <c r="D833" t="s">
        <v>110</v>
      </c>
      <c r="E833" t="s">
        <v>66</v>
      </c>
      <c r="F833" t="s">
        <v>74</v>
      </c>
      <c r="G833" t="s">
        <v>17</v>
      </c>
      <c r="H833" t="s">
        <v>158</v>
      </c>
      <c r="I833" t="s">
        <v>203</v>
      </c>
      <c r="J833" t="s">
        <v>254</v>
      </c>
      <c r="K833" s="2">
        <v>11.2</v>
      </c>
      <c r="L833">
        <v>50</v>
      </c>
      <c r="M833">
        <f t="shared" si="12"/>
        <v>560</v>
      </c>
    </row>
    <row r="834" spans="1:13">
      <c r="A834" t="s">
        <v>252</v>
      </c>
      <c r="B834" t="s">
        <v>253</v>
      </c>
      <c r="C834" s="1">
        <v>39638</v>
      </c>
      <c r="D834" t="s">
        <v>40</v>
      </c>
      <c r="E834" t="s">
        <v>24</v>
      </c>
      <c r="F834" t="s">
        <v>41</v>
      </c>
      <c r="G834" t="s">
        <v>17</v>
      </c>
      <c r="H834" t="s">
        <v>158</v>
      </c>
      <c r="I834" t="s">
        <v>203</v>
      </c>
      <c r="J834" t="s">
        <v>254</v>
      </c>
      <c r="K834" s="2">
        <v>2</v>
      </c>
      <c r="L834">
        <v>25</v>
      </c>
      <c r="M834">
        <f t="shared" si="12"/>
        <v>50</v>
      </c>
    </row>
    <row r="835" spans="1:13">
      <c r="A835" t="s">
        <v>255</v>
      </c>
      <c r="B835" t="s">
        <v>256</v>
      </c>
      <c r="C835" s="1">
        <v>39863</v>
      </c>
      <c r="D835" t="s">
        <v>95</v>
      </c>
      <c r="E835" t="s">
        <v>24</v>
      </c>
      <c r="F835" t="s">
        <v>27</v>
      </c>
      <c r="G835" t="s">
        <v>17</v>
      </c>
      <c r="H835" t="s">
        <v>257</v>
      </c>
      <c r="J835" t="s">
        <v>258</v>
      </c>
      <c r="K835" s="2">
        <v>16.8</v>
      </c>
      <c r="L835">
        <v>28</v>
      </c>
      <c r="M835">
        <f t="shared" ref="M835:M898" si="13">K835*L835</f>
        <v>470.40000000000003</v>
      </c>
    </row>
    <row r="836" spans="1:13">
      <c r="A836" t="s">
        <v>255</v>
      </c>
      <c r="B836" t="s">
        <v>256</v>
      </c>
      <c r="C836" s="1">
        <v>39863</v>
      </c>
      <c r="D836" t="s">
        <v>49</v>
      </c>
      <c r="E836" t="s">
        <v>24</v>
      </c>
      <c r="F836" t="s">
        <v>51</v>
      </c>
      <c r="G836" t="s">
        <v>17</v>
      </c>
      <c r="H836" t="s">
        <v>257</v>
      </c>
      <c r="J836" t="s">
        <v>258</v>
      </c>
      <c r="K836" s="2">
        <v>10.4</v>
      </c>
      <c r="L836">
        <v>55</v>
      </c>
      <c r="M836">
        <f t="shared" si="13"/>
        <v>572</v>
      </c>
    </row>
    <row r="837" spans="1:13">
      <c r="A837" t="s">
        <v>255</v>
      </c>
      <c r="B837" t="s">
        <v>256</v>
      </c>
      <c r="C837" s="1">
        <v>39480</v>
      </c>
      <c r="D837" t="s">
        <v>55</v>
      </c>
      <c r="E837" t="s">
        <v>53</v>
      </c>
      <c r="F837" t="s">
        <v>56</v>
      </c>
      <c r="G837" t="s">
        <v>39</v>
      </c>
      <c r="H837" t="s">
        <v>257</v>
      </c>
      <c r="J837" t="s">
        <v>258</v>
      </c>
      <c r="K837" s="2">
        <v>263.5</v>
      </c>
      <c r="L837">
        <v>60</v>
      </c>
      <c r="M837">
        <f t="shared" si="13"/>
        <v>15810</v>
      </c>
    </row>
    <row r="838" spans="1:13">
      <c r="A838" t="s">
        <v>255</v>
      </c>
      <c r="B838" t="s">
        <v>256</v>
      </c>
      <c r="C838" s="1">
        <v>39480</v>
      </c>
      <c r="D838" t="s">
        <v>109</v>
      </c>
      <c r="E838" t="s">
        <v>53</v>
      </c>
      <c r="F838" t="s">
        <v>56</v>
      </c>
      <c r="G838" t="s">
        <v>39</v>
      </c>
      <c r="H838" t="s">
        <v>257</v>
      </c>
      <c r="J838" t="s">
        <v>258</v>
      </c>
      <c r="K838" s="2">
        <v>18</v>
      </c>
      <c r="L838">
        <v>80</v>
      </c>
      <c r="M838">
        <f t="shared" si="13"/>
        <v>1440</v>
      </c>
    </row>
    <row r="839" spans="1:13">
      <c r="A839" t="s">
        <v>255</v>
      </c>
      <c r="B839" t="s">
        <v>256</v>
      </c>
      <c r="C839" s="1">
        <v>39926</v>
      </c>
      <c r="D839" t="s">
        <v>46</v>
      </c>
      <c r="E839" t="s">
        <v>53</v>
      </c>
      <c r="F839" t="s">
        <v>47</v>
      </c>
      <c r="G839" t="s">
        <v>17</v>
      </c>
      <c r="H839" t="s">
        <v>257</v>
      </c>
      <c r="J839" t="s">
        <v>258</v>
      </c>
      <c r="K839" s="2">
        <v>97</v>
      </c>
      <c r="L839">
        <v>16</v>
      </c>
      <c r="M839">
        <f t="shared" si="13"/>
        <v>1552</v>
      </c>
    </row>
    <row r="840" spans="1:13">
      <c r="A840" t="s">
        <v>255</v>
      </c>
      <c r="B840" t="s">
        <v>256</v>
      </c>
      <c r="C840" s="1">
        <v>39926</v>
      </c>
      <c r="D840" t="s">
        <v>20</v>
      </c>
      <c r="E840" t="s">
        <v>53</v>
      </c>
      <c r="F840" t="s">
        <v>22</v>
      </c>
      <c r="G840" t="s">
        <v>17</v>
      </c>
      <c r="H840" t="s">
        <v>257</v>
      </c>
      <c r="J840" t="s">
        <v>258</v>
      </c>
      <c r="K840" s="2">
        <v>17.45</v>
      </c>
      <c r="L840">
        <v>50</v>
      </c>
      <c r="M840">
        <f t="shared" si="13"/>
        <v>872.5</v>
      </c>
    </row>
    <row r="841" spans="1:13">
      <c r="A841" t="s">
        <v>255</v>
      </c>
      <c r="B841" t="s">
        <v>256</v>
      </c>
      <c r="C841" s="1">
        <v>39926</v>
      </c>
      <c r="D841" t="s">
        <v>150</v>
      </c>
      <c r="E841" t="s">
        <v>53</v>
      </c>
      <c r="F841" t="s">
        <v>31</v>
      </c>
      <c r="G841" t="s">
        <v>17</v>
      </c>
      <c r="H841" t="s">
        <v>257</v>
      </c>
      <c r="J841" t="s">
        <v>258</v>
      </c>
      <c r="K841" s="2">
        <v>43.9</v>
      </c>
      <c r="L841">
        <v>120</v>
      </c>
      <c r="M841">
        <f t="shared" si="13"/>
        <v>5268</v>
      </c>
    </row>
    <row r="842" spans="1:13">
      <c r="A842" t="s">
        <v>255</v>
      </c>
      <c r="B842" t="s">
        <v>256</v>
      </c>
      <c r="C842" s="1">
        <v>39926</v>
      </c>
      <c r="D842" t="s">
        <v>86</v>
      </c>
      <c r="E842" t="s">
        <v>53</v>
      </c>
      <c r="F842" t="s">
        <v>54</v>
      </c>
      <c r="G842" t="s">
        <v>17</v>
      </c>
      <c r="H842" t="s">
        <v>257</v>
      </c>
      <c r="J842" t="s">
        <v>258</v>
      </c>
      <c r="K842" s="2">
        <v>34</v>
      </c>
      <c r="L842">
        <v>84</v>
      </c>
      <c r="M842">
        <f t="shared" si="13"/>
        <v>2856</v>
      </c>
    </row>
    <row r="843" spans="1:13">
      <c r="A843" t="s">
        <v>255</v>
      </c>
      <c r="B843" t="s">
        <v>256</v>
      </c>
      <c r="C843" s="1">
        <v>39665</v>
      </c>
      <c r="D843" t="s">
        <v>96</v>
      </c>
      <c r="E843" t="s">
        <v>15</v>
      </c>
      <c r="F843" t="s">
        <v>97</v>
      </c>
      <c r="G843" t="s">
        <v>17</v>
      </c>
      <c r="H843" t="s">
        <v>257</v>
      </c>
      <c r="J843" t="s">
        <v>258</v>
      </c>
      <c r="K843" s="2">
        <v>14.4</v>
      </c>
      <c r="L843">
        <v>33</v>
      </c>
      <c r="M843">
        <f t="shared" si="13"/>
        <v>475.2</v>
      </c>
    </row>
    <row r="844" spans="1:13">
      <c r="A844" t="s">
        <v>255</v>
      </c>
      <c r="B844" t="s">
        <v>256</v>
      </c>
      <c r="C844" s="1">
        <v>39863</v>
      </c>
      <c r="D844" t="s">
        <v>147</v>
      </c>
      <c r="E844" t="s">
        <v>24</v>
      </c>
      <c r="F844" t="s">
        <v>51</v>
      </c>
      <c r="G844" t="s">
        <v>17</v>
      </c>
      <c r="H844" t="s">
        <v>257</v>
      </c>
      <c r="J844" t="s">
        <v>258</v>
      </c>
      <c r="K844" s="2">
        <v>26.6</v>
      </c>
      <c r="L844">
        <v>35</v>
      </c>
      <c r="M844">
        <f t="shared" si="13"/>
        <v>931</v>
      </c>
    </row>
    <row r="845" spans="1:13">
      <c r="A845" t="s">
        <v>255</v>
      </c>
      <c r="B845" t="s">
        <v>256</v>
      </c>
      <c r="C845" s="1">
        <v>39526</v>
      </c>
      <c r="D845" t="s">
        <v>43</v>
      </c>
      <c r="E845" t="s">
        <v>67</v>
      </c>
      <c r="F845" t="s">
        <v>41</v>
      </c>
      <c r="G845" t="s">
        <v>39</v>
      </c>
      <c r="H845" t="s">
        <v>257</v>
      </c>
      <c r="J845" t="s">
        <v>258</v>
      </c>
      <c r="K845" s="2">
        <v>36</v>
      </c>
      <c r="L845">
        <v>9</v>
      </c>
      <c r="M845">
        <f t="shared" si="13"/>
        <v>324</v>
      </c>
    </row>
    <row r="846" spans="1:13">
      <c r="A846" t="s">
        <v>255</v>
      </c>
      <c r="B846" t="s">
        <v>256</v>
      </c>
      <c r="C846" s="1">
        <v>40061</v>
      </c>
      <c r="D846" t="s">
        <v>34</v>
      </c>
      <c r="E846" t="s">
        <v>24</v>
      </c>
      <c r="F846" t="s">
        <v>35</v>
      </c>
      <c r="G846" t="s">
        <v>17</v>
      </c>
      <c r="H846" t="s">
        <v>257</v>
      </c>
      <c r="J846" t="s">
        <v>258</v>
      </c>
      <c r="K846" s="2">
        <v>10</v>
      </c>
      <c r="L846">
        <v>60</v>
      </c>
      <c r="M846">
        <f t="shared" si="13"/>
        <v>600</v>
      </c>
    </row>
    <row r="847" spans="1:13">
      <c r="A847" t="s">
        <v>255</v>
      </c>
      <c r="B847" t="s">
        <v>256</v>
      </c>
      <c r="C847" s="1">
        <v>39715</v>
      </c>
      <c r="D847" t="s">
        <v>57</v>
      </c>
      <c r="E847" t="s">
        <v>53</v>
      </c>
      <c r="F847" t="s">
        <v>58</v>
      </c>
      <c r="G847" t="s">
        <v>17</v>
      </c>
      <c r="H847" t="s">
        <v>257</v>
      </c>
      <c r="J847" t="s">
        <v>258</v>
      </c>
      <c r="K847" s="2">
        <v>15.2</v>
      </c>
      <c r="L847">
        <v>12</v>
      </c>
      <c r="M847">
        <f t="shared" si="13"/>
        <v>182.39999999999998</v>
      </c>
    </row>
    <row r="848" spans="1:13">
      <c r="A848" t="s">
        <v>255</v>
      </c>
      <c r="B848" t="s">
        <v>256</v>
      </c>
      <c r="C848" s="1">
        <v>40061</v>
      </c>
      <c r="D848" t="s">
        <v>185</v>
      </c>
      <c r="E848" t="s">
        <v>24</v>
      </c>
      <c r="F848" t="s">
        <v>134</v>
      </c>
      <c r="G848" t="s">
        <v>17</v>
      </c>
      <c r="H848" t="s">
        <v>257</v>
      </c>
      <c r="J848" t="s">
        <v>258</v>
      </c>
      <c r="K848" s="2">
        <v>18.399999999999999</v>
      </c>
      <c r="L848">
        <v>70</v>
      </c>
      <c r="M848">
        <f t="shared" si="13"/>
        <v>1288</v>
      </c>
    </row>
    <row r="849" spans="1:13">
      <c r="A849" t="s">
        <v>255</v>
      </c>
      <c r="B849" t="s">
        <v>256</v>
      </c>
      <c r="C849" s="1">
        <v>40061</v>
      </c>
      <c r="D849" t="s">
        <v>86</v>
      </c>
      <c r="E849" t="s">
        <v>24</v>
      </c>
      <c r="F849" t="s">
        <v>54</v>
      </c>
      <c r="G849" t="s">
        <v>17</v>
      </c>
      <c r="H849" t="s">
        <v>257</v>
      </c>
      <c r="J849" t="s">
        <v>258</v>
      </c>
      <c r="K849" s="2">
        <v>34</v>
      </c>
      <c r="L849">
        <v>55</v>
      </c>
      <c r="M849">
        <f t="shared" si="13"/>
        <v>1870</v>
      </c>
    </row>
    <row r="850" spans="1:13">
      <c r="A850" t="s">
        <v>255</v>
      </c>
      <c r="B850" t="s">
        <v>256</v>
      </c>
      <c r="C850" s="1">
        <v>40061</v>
      </c>
      <c r="D850" t="s">
        <v>49</v>
      </c>
      <c r="E850" t="s">
        <v>24</v>
      </c>
      <c r="F850" t="s">
        <v>51</v>
      </c>
      <c r="G850" t="s">
        <v>17</v>
      </c>
      <c r="H850" t="s">
        <v>257</v>
      </c>
      <c r="J850" t="s">
        <v>258</v>
      </c>
      <c r="K850" s="2">
        <v>13</v>
      </c>
      <c r="L850">
        <v>70</v>
      </c>
      <c r="M850">
        <f t="shared" si="13"/>
        <v>910</v>
      </c>
    </row>
    <row r="851" spans="1:13">
      <c r="A851" t="s">
        <v>255</v>
      </c>
      <c r="B851" t="s">
        <v>256</v>
      </c>
      <c r="C851" s="1">
        <v>39926</v>
      </c>
      <c r="D851" t="s">
        <v>40</v>
      </c>
      <c r="E851" t="s">
        <v>53</v>
      </c>
      <c r="F851" t="s">
        <v>41</v>
      </c>
      <c r="G851" t="s">
        <v>17</v>
      </c>
      <c r="H851" t="s">
        <v>257</v>
      </c>
      <c r="J851" t="s">
        <v>258</v>
      </c>
      <c r="K851" s="2">
        <v>2.5</v>
      </c>
      <c r="L851">
        <v>16</v>
      </c>
      <c r="M851">
        <f t="shared" si="13"/>
        <v>40</v>
      </c>
    </row>
    <row r="852" spans="1:13">
      <c r="A852" t="s">
        <v>255</v>
      </c>
      <c r="B852" t="s">
        <v>256</v>
      </c>
      <c r="C852" s="1">
        <v>39468</v>
      </c>
      <c r="D852" t="s">
        <v>44</v>
      </c>
      <c r="E852" t="s">
        <v>67</v>
      </c>
      <c r="F852" t="s">
        <v>45</v>
      </c>
      <c r="G852" t="s">
        <v>39</v>
      </c>
      <c r="H852" t="s">
        <v>257</v>
      </c>
      <c r="J852" t="s">
        <v>258</v>
      </c>
      <c r="K852" s="2">
        <v>18</v>
      </c>
      <c r="L852">
        <v>25</v>
      </c>
      <c r="M852">
        <f t="shared" si="13"/>
        <v>450</v>
      </c>
    </row>
    <row r="853" spans="1:13">
      <c r="A853" t="s">
        <v>255</v>
      </c>
      <c r="B853" t="s">
        <v>256</v>
      </c>
      <c r="C853" s="1">
        <v>39743</v>
      </c>
      <c r="D853" t="s">
        <v>86</v>
      </c>
      <c r="E853" t="s">
        <v>21</v>
      </c>
      <c r="F853" t="s">
        <v>54</v>
      </c>
      <c r="G853" t="s">
        <v>17</v>
      </c>
      <c r="H853" t="s">
        <v>257</v>
      </c>
      <c r="J853" t="s">
        <v>258</v>
      </c>
      <c r="K853" s="2">
        <v>27.2</v>
      </c>
      <c r="L853">
        <v>55</v>
      </c>
      <c r="M853">
        <f t="shared" si="13"/>
        <v>1496</v>
      </c>
    </row>
    <row r="854" spans="1:13">
      <c r="A854" t="s">
        <v>255</v>
      </c>
      <c r="B854" t="s">
        <v>256</v>
      </c>
      <c r="C854" s="1">
        <v>40092</v>
      </c>
      <c r="D854" t="s">
        <v>116</v>
      </c>
      <c r="E854" t="s">
        <v>67</v>
      </c>
      <c r="F854" t="s">
        <v>22</v>
      </c>
      <c r="G854" t="s">
        <v>17</v>
      </c>
      <c r="H854" t="s">
        <v>257</v>
      </c>
      <c r="J854" t="s">
        <v>258</v>
      </c>
      <c r="K854" s="2">
        <v>15</v>
      </c>
      <c r="L854">
        <v>50</v>
      </c>
      <c r="M854">
        <f t="shared" si="13"/>
        <v>750</v>
      </c>
    </row>
    <row r="855" spans="1:13">
      <c r="A855" t="s">
        <v>255</v>
      </c>
      <c r="B855" t="s">
        <v>256</v>
      </c>
      <c r="C855" s="1">
        <v>40092</v>
      </c>
      <c r="D855" t="s">
        <v>52</v>
      </c>
      <c r="E855" t="s">
        <v>67</v>
      </c>
      <c r="F855" t="s">
        <v>54</v>
      </c>
      <c r="G855" t="s">
        <v>17</v>
      </c>
      <c r="H855" t="s">
        <v>257</v>
      </c>
      <c r="J855" t="s">
        <v>258</v>
      </c>
      <c r="K855" s="2">
        <v>55</v>
      </c>
      <c r="L855">
        <v>25</v>
      </c>
      <c r="M855">
        <f t="shared" si="13"/>
        <v>1375</v>
      </c>
    </row>
    <row r="856" spans="1:13">
      <c r="A856" t="s">
        <v>255</v>
      </c>
      <c r="B856" t="s">
        <v>256</v>
      </c>
      <c r="C856" s="1">
        <v>40092</v>
      </c>
      <c r="D856" t="s">
        <v>87</v>
      </c>
      <c r="E856" t="s">
        <v>67</v>
      </c>
      <c r="F856" t="s">
        <v>25</v>
      </c>
      <c r="G856" t="s">
        <v>17</v>
      </c>
      <c r="H856" t="s">
        <v>257</v>
      </c>
      <c r="J856" t="s">
        <v>258</v>
      </c>
      <c r="K856" s="2">
        <v>30</v>
      </c>
      <c r="L856">
        <v>90</v>
      </c>
      <c r="M856">
        <f t="shared" si="13"/>
        <v>2700</v>
      </c>
    </row>
    <row r="857" spans="1:13">
      <c r="A857" t="s">
        <v>255</v>
      </c>
      <c r="B857" t="s">
        <v>256</v>
      </c>
      <c r="C857" s="1">
        <v>39743</v>
      </c>
      <c r="D857" t="s">
        <v>109</v>
      </c>
      <c r="E857" t="s">
        <v>21</v>
      </c>
      <c r="F857" t="s">
        <v>56</v>
      </c>
      <c r="G857" t="s">
        <v>17</v>
      </c>
      <c r="H857" t="s">
        <v>257</v>
      </c>
      <c r="J857" t="s">
        <v>258</v>
      </c>
      <c r="K857" s="2">
        <v>14.4</v>
      </c>
      <c r="L857">
        <v>54</v>
      </c>
      <c r="M857">
        <f t="shared" si="13"/>
        <v>777.6</v>
      </c>
    </row>
    <row r="858" spans="1:13">
      <c r="A858" t="s">
        <v>255</v>
      </c>
      <c r="B858" t="s">
        <v>256</v>
      </c>
      <c r="C858" s="1">
        <v>40078</v>
      </c>
      <c r="D858" t="s">
        <v>71</v>
      </c>
      <c r="E858" t="s">
        <v>21</v>
      </c>
      <c r="F858" t="s">
        <v>51</v>
      </c>
      <c r="G858" t="s">
        <v>39</v>
      </c>
      <c r="H858" t="s">
        <v>257</v>
      </c>
      <c r="J858" t="s">
        <v>258</v>
      </c>
      <c r="K858" s="2">
        <v>7.75</v>
      </c>
      <c r="L858">
        <v>40</v>
      </c>
      <c r="M858">
        <f t="shared" si="13"/>
        <v>310</v>
      </c>
    </row>
    <row r="859" spans="1:13">
      <c r="A859" t="s">
        <v>255</v>
      </c>
      <c r="B859" t="s">
        <v>256</v>
      </c>
      <c r="C859" s="1">
        <v>40078</v>
      </c>
      <c r="D859" t="s">
        <v>64</v>
      </c>
      <c r="E859" t="s">
        <v>21</v>
      </c>
      <c r="F859" t="s">
        <v>35</v>
      </c>
      <c r="G859" t="s">
        <v>39</v>
      </c>
      <c r="H859" t="s">
        <v>257</v>
      </c>
      <c r="J859" t="s">
        <v>258</v>
      </c>
      <c r="K859" s="2">
        <v>9.1999999999999993</v>
      </c>
      <c r="L859">
        <v>50</v>
      </c>
      <c r="M859">
        <f t="shared" si="13"/>
        <v>459.99999999999994</v>
      </c>
    </row>
    <row r="860" spans="1:13">
      <c r="A860" t="s">
        <v>255</v>
      </c>
      <c r="B860" t="s">
        <v>256</v>
      </c>
      <c r="C860" s="1">
        <v>40115</v>
      </c>
      <c r="D860" t="s">
        <v>73</v>
      </c>
      <c r="E860" t="s">
        <v>66</v>
      </c>
      <c r="F860" t="s">
        <v>74</v>
      </c>
      <c r="G860" t="s">
        <v>17</v>
      </c>
      <c r="H860" t="s">
        <v>257</v>
      </c>
      <c r="J860" t="s">
        <v>258</v>
      </c>
      <c r="K860" s="2">
        <v>19.45</v>
      </c>
      <c r="L860">
        <v>50</v>
      </c>
      <c r="M860">
        <f t="shared" si="13"/>
        <v>972.5</v>
      </c>
    </row>
    <row r="861" spans="1:13">
      <c r="A861" t="s">
        <v>255</v>
      </c>
      <c r="B861" t="s">
        <v>256</v>
      </c>
      <c r="C861" s="1">
        <v>39468</v>
      </c>
      <c r="D861" t="s">
        <v>147</v>
      </c>
      <c r="E861" t="s">
        <v>67</v>
      </c>
      <c r="F861" t="s">
        <v>51</v>
      </c>
      <c r="G861" t="s">
        <v>39</v>
      </c>
      <c r="H861" t="s">
        <v>257</v>
      </c>
      <c r="J861" t="s">
        <v>258</v>
      </c>
      <c r="K861" s="2">
        <v>33.25</v>
      </c>
      <c r="L861">
        <v>48</v>
      </c>
      <c r="M861">
        <f t="shared" si="13"/>
        <v>1596</v>
      </c>
    </row>
    <row r="862" spans="1:13">
      <c r="A862" t="s">
        <v>255</v>
      </c>
      <c r="B862" t="s">
        <v>256</v>
      </c>
      <c r="C862" s="1">
        <v>39526</v>
      </c>
      <c r="D862" t="s">
        <v>124</v>
      </c>
      <c r="E862" t="s">
        <v>67</v>
      </c>
      <c r="F862" t="s">
        <v>125</v>
      </c>
      <c r="G862" t="s">
        <v>39</v>
      </c>
      <c r="H862" t="s">
        <v>257</v>
      </c>
      <c r="J862" t="s">
        <v>258</v>
      </c>
      <c r="K862" s="2">
        <v>6</v>
      </c>
      <c r="L862">
        <v>77</v>
      </c>
      <c r="M862">
        <f t="shared" si="13"/>
        <v>462</v>
      </c>
    </row>
    <row r="863" spans="1:13">
      <c r="A863" t="s">
        <v>255</v>
      </c>
      <c r="B863" t="s">
        <v>256</v>
      </c>
      <c r="C863" s="1">
        <v>39468</v>
      </c>
      <c r="D863" t="s">
        <v>110</v>
      </c>
      <c r="E863" t="s">
        <v>67</v>
      </c>
      <c r="F863" t="s">
        <v>74</v>
      </c>
      <c r="G863" t="s">
        <v>39</v>
      </c>
      <c r="H863" t="s">
        <v>257</v>
      </c>
      <c r="J863" t="s">
        <v>258</v>
      </c>
      <c r="K863" s="2">
        <v>14</v>
      </c>
      <c r="L863">
        <v>42</v>
      </c>
      <c r="M863">
        <f t="shared" si="13"/>
        <v>588</v>
      </c>
    </row>
    <row r="864" spans="1:13">
      <c r="A864" t="s">
        <v>255</v>
      </c>
      <c r="B864" t="s">
        <v>256</v>
      </c>
      <c r="C864" s="1">
        <v>39863</v>
      </c>
      <c r="D864" t="s">
        <v>148</v>
      </c>
      <c r="E864" t="s">
        <v>24</v>
      </c>
      <c r="F864" t="s">
        <v>16</v>
      </c>
      <c r="G864" t="s">
        <v>17</v>
      </c>
      <c r="H864" t="s">
        <v>257</v>
      </c>
      <c r="J864" t="s">
        <v>258</v>
      </c>
      <c r="K864" s="2">
        <v>19.2</v>
      </c>
      <c r="L864">
        <v>120</v>
      </c>
      <c r="M864">
        <f t="shared" si="13"/>
        <v>2304</v>
      </c>
    </row>
    <row r="865" spans="1:13">
      <c r="A865" t="s">
        <v>255</v>
      </c>
      <c r="B865" t="s">
        <v>256</v>
      </c>
      <c r="C865" s="1">
        <v>39468</v>
      </c>
      <c r="D865" t="s">
        <v>130</v>
      </c>
      <c r="E865" t="s">
        <v>67</v>
      </c>
      <c r="F865" t="s">
        <v>118</v>
      </c>
      <c r="G865" t="s">
        <v>39</v>
      </c>
      <c r="H865" t="s">
        <v>257</v>
      </c>
      <c r="J865" t="s">
        <v>258</v>
      </c>
      <c r="K865" s="2">
        <v>9</v>
      </c>
      <c r="L865">
        <v>70</v>
      </c>
      <c r="M865">
        <f t="shared" si="13"/>
        <v>630</v>
      </c>
    </row>
    <row r="866" spans="1:13">
      <c r="A866" t="s">
        <v>255</v>
      </c>
      <c r="B866" t="s">
        <v>256</v>
      </c>
      <c r="C866" s="1">
        <v>39681</v>
      </c>
      <c r="D866" t="s">
        <v>38</v>
      </c>
      <c r="E866" t="s">
        <v>67</v>
      </c>
      <c r="F866" t="s">
        <v>29</v>
      </c>
      <c r="G866" t="s">
        <v>17</v>
      </c>
      <c r="H866" t="s">
        <v>257</v>
      </c>
      <c r="J866" t="s">
        <v>258</v>
      </c>
      <c r="K866" s="2">
        <v>39.4</v>
      </c>
      <c r="L866">
        <v>40</v>
      </c>
      <c r="M866">
        <f t="shared" si="13"/>
        <v>1576</v>
      </c>
    </row>
    <row r="867" spans="1:13">
      <c r="A867" t="s">
        <v>255</v>
      </c>
      <c r="B867" t="s">
        <v>256</v>
      </c>
      <c r="C867" s="1">
        <v>39681</v>
      </c>
      <c r="D867" t="s">
        <v>44</v>
      </c>
      <c r="E867" t="s">
        <v>67</v>
      </c>
      <c r="F867" t="s">
        <v>45</v>
      </c>
      <c r="G867" t="s">
        <v>17</v>
      </c>
      <c r="H867" t="s">
        <v>257</v>
      </c>
      <c r="J867" t="s">
        <v>258</v>
      </c>
      <c r="K867" s="2">
        <v>14.4</v>
      </c>
      <c r="L867">
        <v>100</v>
      </c>
      <c r="M867">
        <f t="shared" si="13"/>
        <v>1440</v>
      </c>
    </row>
    <row r="868" spans="1:13">
      <c r="A868" t="s">
        <v>255</v>
      </c>
      <c r="B868" t="s">
        <v>256</v>
      </c>
      <c r="C868" s="1">
        <v>39680</v>
      </c>
      <c r="D868" t="s">
        <v>111</v>
      </c>
      <c r="E868" t="s">
        <v>21</v>
      </c>
      <c r="F868" t="s">
        <v>37</v>
      </c>
      <c r="G868" t="s">
        <v>17</v>
      </c>
      <c r="H868" t="s">
        <v>257</v>
      </c>
      <c r="J868" t="s">
        <v>258</v>
      </c>
      <c r="K868" s="2">
        <v>14.4</v>
      </c>
      <c r="L868">
        <v>45</v>
      </c>
      <c r="M868">
        <f t="shared" si="13"/>
        <v>648</v>
      </c>
    </row>
    <row r="869" spans="1:13">
      <c r="A869" t="s">
        <v>255</v>
      </c>
      <c r="B869" t="s">
        <v>256</v>
      </c>
      <c r="C869" s="1">
        <v>39680</v>
      </c>
      <c r="D869" t="s">
        <v>185</v>
      </c>
      <c r="E869" t="s">
        <v>21</v>
      </c>
      <c r="F869" t="s">
        <v>134</v>
      </c>
      <c r="G869" t="s">
        <v>17</v>
      </c>
      <c r="H869" t="s">
        <v>257</v>
      </c>
      <c r="J869" t="s">
        <v>258</v>
      </c>
      <c r="K869" s="2">
        <v>14.7</v>
      </c>
      <c r="L869">
        <v>40</v>
      </c>
      <c r="M869">
        <f t="shared" si="13"/>
        <v>588</v>
      </c>
    </row>
    <row r="870" spans="1:13">
      <c r="A870" t="s">
        <v>255</v>
      </c>
      <c r="B870" t="s">
        <v>256</v>
      </c>
      <c r="C870" s="1">
        <v>39680</v>
      </c>
      <c r="D870" t="s">
        <v>32</v>
      </c>
      <c r="E870" t="s">
        <v>21</v>
      </c>
      <c r="F870" t="s">
        <v>33</v>
      </c>
      <c r="G870" t="s">
        <v>17</v>
      </c>
      <c r="H870" t="s">
        <v>257</v>
      </c>
      <c r="J870" t="s">
        <v>258</v>
      </c>
      <c r="K870" s="2">
        <v>26.2</v>
      </c>
      <c r="L870">
        <v>36</v>
      </c>
      <c r="M870">
        <f t="shared" si="13"/>
        <v>943.19999999999993</v>
      </c>
    </row>
    <row r="871" spans="1:13">
      <c r="A871" t="s">
        <v>255</v>
      </c>
      <c r="B871" t="s">
        <v>256</v>
      </c>
      <c r="C871" s="1">
        <v>39526</v>
      </c>
      <c r="D871" t="s">
        <v>96</v>
      </c>
      <c r="E871" t="s">
        <v>67</v>
      </c>
      <c r="F871" t="s">
        <v>97</v>
      </c>
      <c r="G871" t="s">
        <v>39</v>
      </c>
      <c r="H871" t="s">
        <v>257</v>
      </c>
      <c r="J871" t="s">
        <v>258</v>
      </c>
      <c r="K871" s="2">
        <v>18</v>
      </c>
      <c r="L871">
        <v>44</v>
      </c>
      <c r="M871">
        <f t="shared" si="13"/>
        <v>792</v>
      </c>
    </row>
    <row r="872" spans="1:13">
      <c r="A872" t="s">
        <v>255</v>
      </c>
      <c r="B872" t="s">
        <v>256</v>
      </c>
      <c r="C872" s="1">
        <v>39526</v>
      </c>
      <c r="D872" t="s">
        <v>32</v>
      </c>
      <c r="E872" t="s">
        <v>67</v>
      </c>
      <c r="F872" t="s">
        <v>33</v>
      </c>
      <c r="G872" t="s">
        <v>39</v>
      </c>
      <c r="H872" t="s">
        <v>257</v>
      </c>
      <c r="J872" t="s">
        <v>258</v>
      </c>
      <c r="K872" s="2">
        <v>32.799999999999997</v>
      </c>
      <c r="L872">
        <v>20</v>
      </c>
      <c r="M872">
        <f t="shared" si="13"/>
        <v>656</v>
      </c>
    </row>
    <row r="873" spans="1:13">
      <c r="A873" t="s">
        <v>255</v>
      </c>
      <c r="B873" t="s">
        <v>256</v>
      </c>
      <c r="C873" s="1">
        <v>39665</v>
      </c>
      <c r="D873" t="s">
        <v>185</v>
      </c>
      <c r="E873" t="s">
        <v>15</v>
      </c>
      <c r="F873" t="s">
        <v>134</v>
      </c>
      <c r="G873" t="s">
        <v>17</v>
      </c>
      <c r="H873" t="s">
        <v>257</v>
      </c>
      <c r="J873" t="s">
        <v>258</v>
      </c>
      <c r="K873" s="2">
        <v>14.7</v>
      </c>
      <c r="L873">
        <v>60</v>
      </c>
      <c r="M873">
        <f t="shared" si="13"/>
        <v>882</v>
      </c>
    </row>
    <row r="874" spans="1:13">
      <c r="A874" t="s">
        <v>255</v>
      </c>
      <c r="B874" t="s">
        <v>256</v>
      </c>
      <c r="C874" s="1">
        <v>39526</v>
      </c>
      <c r="D874" t="s">
        <v>87</v>
      </c>
      <c r="E874" t="s">
        <v>67</v>
      </c>
      <c r="F874" t="s">
        <v>25</v>
      </c>
      <c r="G874" t="s">
        <v>39</v>
      </c>
      <c r="H874" t="s">
        <v>257</v>
      </c>
      <c r="J874" t="s">
        <v>258</v>
      </c>
      <c r="K874" s="2">
        <v>30</v>
      </c>
      <c r="L874">
        <v>45</v>
      </c>
      <c r="M874">
        <f t="shared" si="13"/>
        <v>1350</v>
      </c>
    </row>
    <row r="875" spans="1:13">
      <c r="A875" t="s">
        <v>255</v>
      </c>
      <c r="B875" t="s">
        <v>256</v>
      </c>
      <c r="C875" s="1">
        <v>39468</v>
      </c>
      <c r="D875" t="s">
        <v>68</v>
      </c>
      <c r="E875" t="s">
        <v>67</v>
      </c>
      <c r="F875" t="s">
        <v>69</v>
      </c>
      <c r="G875" t="s">
        <v>39</v>
      </c>
      <c r="H875" t="s">
        <v>257</v>
      </c>
      <c r="J875" t="s">
        <v>258</v>
      </c>
      <c r="K875" s="2">
        <v>13.25</v>
      </c>
      <c r="L875">
        <v>60</v>
      </c>
      <c r="M875">
        <f t="shared" si="13"/>
        <v>795</v>
      </c>
    </row>
    <row r="876" spans="1:13">
      <c r="A876" t="s">
        <v>255</v>
      </c>
      <c r="B876" t="s">
        <v>256</v>
      </c>
      <c r="C876" s="1">
        <v>39517</v>
      </c>
      <c r="D876" t="s">
        <v>124</v>
      </c>
      <c r="E876" t="s">
        <v>15</v>
      </c>
      <c r="F876" t="s">
        <v>125</v>
      </c>
      <c r="G876" t="s">
        <v>39</v>
      </c>
      <c r="H876" t="s">
        <v>257</v>
      </c>
      <c r="J876" t="s">
        <v>258</v>
      </c>
      <c r="K876" s="2">
        <v>6</v>
      </c>
      <c r="L876">
        <v>20</v>
      </c>
      <c r="M876">
        <f t="shared" si="13"/>
        <v>120</v>
      </c>
    </row>
    <row r="877" spans="1:13">
      <c r="A877" t="s">
        <v>255</v>
      </c>
      <c r="B877" t="s">
        <v>256</v>
      </c>
      <c r="C877" s="1">
        <v>39665</v>
      </c>
      <c r="D877" t="s">
        <v>137</v>
      </c>
      <c r="E877" t="s">
        <v>15</v>
      </c>
      <c r="F877" t="s">
        <v>76</v>
      </c>
      <c r="G877" t="s">
        <v>17</v>
      </c>
      <c r="H877" t="s">
        <v>257</v>
      </c>
      <c r="J877" t="s">
        <v>258</v>
      </c>
      <c r="K877" s="2">
        <v>10</v>
      </c>
      <c r="L877">
        <v>15</v>
      </c>
      <c r="M877">
        <f t="shared" si="13"/>
        <v>150</v>
      </c>
    </row>
    <row r="878" spans="1:13">
      <c r="A878" t="s">
        <v>255</v>
      </c>
      <c r="B878" t="s">
        <v>256</v>
      </c>
      <c r="C878" s="1">
        <v>39517</v>
      </c>
      <c r="D878" t="s">
        <v>121</v>
      </c>
      <c r="E878" t="s">
        <v>15</v>
      </c>
      <c r="F878" t="s">
        <v>41</v>
      </c>
      <c r="G878" t="s">
        <v>39</v>
      </c>
      <c r="H878" t="s">
        <v>257</v>
      </c>
      <c r="J878" t="s">
        <v>258</v>
      </c>
      <c r="K878" s="2">
        <v>21.5</v>
      </c>
      <c r="L878">
        <v>35</v>
      </c>
      <c r="M878">
        <f t="shared" si="13"/>
        <v>752.5</v>
      </c>
    </row>
    <row r="879" spans="1:13">
      <c r="A879" t="s">
        <v>255</v>
      </c>
      <c r="B879" t="s">
        <v>256</v>
      </c>
      <c r="C879" s="1">
        <v>39997</v>
      </c>
      <c r="D879" t="s">
        <v>110</v>
      </c>
      <c r="E879" t="s">
        <v>53</v>
      </c>
      <c r="F879" t="s">
        <v>74</v>
      </c>
      <c r="G879" t="s">
        <v>17</v>
      </c>
      <c r="H879" t="s">
        <v>257</v>
      </c>
      <c r="J879" t="s">
        <v>258</v>
      </c>
      <c r="K879" s="2">
        <v>14</v>
      </c>
      <c r="L879">
        <v>100</v>
      </c>
      <c r="M879">
        <f t="shared" si="13"/>
        <v>1400</v>
      </c>
    </row>
    <row r="880" spans="1:13">
      <c r="A880" t="s">
        <v>255</v>
      </c>
      <c r="B880" t="s">
        <v>256</v>
      </c>
      <c r="C880" s="1">
        <v>40089</v>
      </c>
      <c r="D880" t="s">
        <v>111</v>
      </c>
      <c r="E880" t="s">
        <v>53</v>
      </c>
      <c r="F880" t="s">
        <v>37</v>
      </c>
      <c r="G880" t="s">
        <v>17</v>
      </c>
      <c r="H880" t="s">
        <v>257</v>
      </c>
      <c r="J880" t="s">
        <v>258</v>
      </c>
      <c r="K880" s="2">
        <v>18</v>
      </c>
      <c r="L880">
        <v>30</v>
      </c>
      <c r="M880">
        <f t="shared" si="13"/>
        <v>540</v>
      </c>
    </row>
    <row r="881" spans="1:13">
      <c r="A881" t="s">
        <v>255</v>
      </c>
      <c r="B881" t="s">
        <v>256</v>
      </c>
      <c r="C881" s="1">
        <v>40089</v>
      </c>
      <c r="D881" t="s">
        <v>88</v>
      </c>
      <c r="E881" t="s">
        <v>53</v>
      </c>
      <c r="F881" t="s">
        <v>51</v>
      </c>
      <c r="G881" t="s">
        <v>17</v>
      </c>
      <c r="H881" t="s">
        <v>257</v>
      </c>
      <c r="J881" t="s">
        <v>258</v>
      </c>
      <c r="K881" s="2">
        <v>123.79</v>
      </c>
      <c r="L881">
        <v>40</v>
      </c>
      <c r="M881">
        <f t="shared" si="13"/>
        <v>4951.6000000000004</v>
      </c>
    </row>
    <row r="882" spans="1:13">
      <c r="A882" t="s">
        <v>255</v>
      </c>
      <c r="B882" t="s">
        <v>256</v>
      </c>
      <c r="C882" s="1">
        <v>40089</v>
      </c>
      <c r="D882" t="s">
        <v>94</v>
      </c>
      <c r="E882" t="s">
        <v>53</v>
      </c>
      <c r="F882" t="s">
        <v>74</v>
      </c>
      <c r="G882" t="s">
        <v>17</v>
      </c>
      <c r="H882" t="s">
        <v>257</v>
      </c>
      <c r="J882" t="s">
        <v>258</v>
      </c>
      <c r="K882" s="2">
        <v>46</v>
      </c>
      <c r="L882">
        <v>40</v>
      </c>
      <c r="M882">
        <f t="shared" si="13"/>
        <v>1840</v>
      </c>
    </row>
    <row r="883" spans="1:13">
      <c r="A883" t="s">
        <v>255</v>
      </c>
      <c r="B883" t="s">
        <v>256</v>
      </c>
      <c r="C883" s="1">
        <v>39517</v>
      </c>
      <c r="D883" t="s">
        <v>86</v>
      </c>
      <c r="E883" t="s">
        <v>15</v>
      </c>
      <c r="F883" t="s">
        <v>54</v>
      </c>
      <c r="G883" t="s">
        <v>39</v>
      </c>
      <c r="H883" t="s">
        <v>257</v>
      </c>
      <c r="J883" t="s">
        <v>258</v>
      </c>
      <c r="K883" s="2">
        <v>34</v>
      </c>
      <c r="L883">
        <v>49</v>
      </c>
      <c r="M883">
        <f t="shared" si="13"/>
        <v>1666</v>
      </c>
    </row>
    <row r="884" spans="1:13">
      <c r="A884" t="s">
        <v>255</v>
      </c>
      <c r="B884" t="s">
        <v>256</v>
      </c>
      <c r="C884" s="1">
        <v>39517</v>
      </c>
      <c r="D884" t="s">
        <v>94</v>
      </c>
      <c r="E884" t="s">
        <v>15</v>
      </c>
      <c r="F884" t="s">
        <v>74</v>
      </c>
      <c r="G884" t="s">
        <v>39</v>
      </c>
      <c r="H884" t="s">
        <v>257</v>
      </c>
      <c r="J884" t="s">
        <v>258</v>
      </c>
      <c r="K884" s="2">
        <v>46</v>
      </c>
      <c r="L884">
        <v>24</v>
      </c>
      <c r="M884">
        <f t="shared" si="13"/>
        <v>1104</v>
      </c>
    </row>
    <row r="885" spans="1:13">
      <c r="A885" t="s">
        <v>255</v>
      </c>
      <c r="B885" t="s">
        <v>256</v>
      </c>
      <c r="C885" s="1">
        <v>40089</v>
      </c>
      <c r="D885" t="s">
        <v>73</v>
      </c>
      <c r="E885" t="s">
        <v>53</v>
      </c>
      <c r="F885" t="s">
        <v>74</v>
      </c>
      <c r="G885" t="s">
        <v>17</v>
      </c>
      <c r="H885" t="s">
        <v>257</v>
      </c>
      <c r="J885" t="s">
        <v>258</v>
      </c>
      <c r="K885" s="2">
        <v>19.45</v>
      </c>
      <c r="L885">
        <v>24</v>
      </c>
      <c r="M885">
        <f t="shared" si="13"/>
        <v>466.79999999999995</v>
      </c>
    </row>
    <row r="886" spans="1:13">
      <c r="A886" t="s">
        <v>255</v>
      </c>
      <c r="B886" t="s">
        <v>256</v>
      </c>
      <c r="C886" s="1">
        <v>39952</v>
      </c>
      <c r="D886" t="s">
        <v>30</v>
      </c>
      <c r="E886" t="s">
        <v>15</v>
      </c>
      <c r="F886" t="s">
        <v>31</v>
      </c>
      <c r="G886" t="s">
        <v>17</v>
      </c>
      <c r="H886" t="s">
        <v>257</v>
      </c>
      <c r="J886" t="s">
        <v>258</v>
      </c>
      <c r="K886" s="2">
        <v>31.23</v>
      </c>
      <c r="L886">
        <v>40</v>
      </c>
      <c r="M886">
        <f t="shared" si="13"/>
        <v>1249.2</v>
      </c>
    </row>
    <row r="887" spans="1:13">
      <c r="A887" t="s">
        <v>255</v>
      </c>
      <c r="B887" t="s">
        <v>256</v>
      </c>
      <c r="C887" s="1">
        <v>39540</v>
      </c>
      <c r="D887" t="s">
        <v>110</v>
      </c>
      <c r="E887" t="s">
        <v>24</v>
      </c>
      <c r="F887" t="s">
        <v>74</v>
      </c>
      <c r="G887" t="s">
        <v>39</v>
      </c>
      <c r="H887" t="s">
        <v>257</v>
      </c>
      <c r="J887" t="s">
        <v>258</v>
      </c>
      <c r="K887" s="2">
        <v>14</v>
      </c>
      <c r="L887">
        <v>40</v>
      </c>
      <c r="M887">
        <f t="shared" si="13"/>
        <v>560</v>
      </c>
    </row>
    <row r="888" spans="1:13">
      <c r="A888" t="s">
        <v>255</v>
      </c>
      <c r="B888" t="s">
        <v>256</v>
      </c>
      <c r="C888" s="1">
        <v>39938</v>
      </c>
      <c r="D888" t="s">
        <v>26</v>
      </c>
      <c r="E888" t="s">
        <v>50</v>
      </c>
      <c r="F888" t="s">
        <v>27</v>
      </c>
      <c r="G888" t="s">
        <v>17</v>
      </c>
      <c r="H888" t="s">
        <v>257</v>
      </c>
      <c r="J888" t="s">
        <v>258</v>
      </c>
      <c r="K888" s="2">
        <v>22</v>
      </c>
      <c r="L888">
        <v>50</v>
      </c>
      <c r="M888">
        <f t="shared" si="13"/>
        <v>1100</v>
      </c>
    </row>
    <row r="889" spans="1:13">
      <c r="A889" t="s">
        <v>255</v>
      </c>
      <c r="B889" t="s">
        <v>256</v>
      </c>
      <c r="C889" s="1">
        <v>40060</v>
      </c>
      <c r="D889" t="s">
        <v>95</v>
      </c>
      <c r="E889" t="s">
        <v>15</v>
      </c>
      <c r="F889" t="s">
        <v>27</v>
      </c>
      <c r="G889" t="s">
        <v>39</v>
      </c>
      <c r="H889" t="s">
        <v>257</v>
      </c>
      <c r="J889" t="s">
        <v>258</v>
      </c>
      <c r="K889" s="2">
        <v>21.05</v>
      </c>
      <c r="L889">
        <v>80</v>
      </c>
      <c r="M889">
        <f t="shared" si="13"/>
        <v>1684</v>
      </c>
    </row>
    <row r="890" spans="1:13">
      <c r="A890" t="s">
        <v>255</v>
      </c>
      <c r="B890" t="s">
        <v>256</v>
      </c>
      <c r="C890" s="1">
        <v>39552</v>
      </c>
      <c r="D890" t="s">
        <v>75</v>
      </c>
      <c r="E890" t="s">
        <v>15</v>
      </c>
      <c r="F890" t="s">
        <v>76</v>
      </c>
      <c r="G890" t="s">
        <v>39</v>
      </c>
      <c r="H890" t="s">
        <v>257</v>
      </c>
      <c r="J890" t="s">
        <v>258</v>
      </c>
      <c r="K890" s="2">
        <v>34.799999999999997</v>
      </c>
      <c r="L890">
        <v>35</v>
      </c>
      <c r="M890">
        <f t="shared" si="13"/>
        <v>1218</v>
      </c>
    </row>
    <row r="891" spans="1:13">
      <c r="A891" t="s">
        <v>255</v>
      </c>
      <c r="B891" t="s">
        <v>256</v>
      </c>
      <c r="C891" s="1">
        <v>39552</v>
      </c>
      <c r="D891" t="s">
        <v>85</v>
      </c>
      <c r="E891" t="s">
        <v>15</v>
      </c>
      <c r="F891" t="s">
        <v>33</v>
      </c>
      <c r="G891" t="s">
        <v>39</v>
      </c>
      <c r="H891" t="s">
        <v>257</v>
      </c>
      <c r="J891" t="s">
        <v>258</v>
      </c>
      <c r="K891" s="2">
        <v>53</v>
      </c>
      <c r="L891">
        <v>44</v>
      </c>
      <c r="M891">
        <f t="shared" si="13"/>
        <v>2332</v>
      </c>
    </row>
    <row r="892" spans="1:13">
      <c r="A892" t="s">
        <v>255</v>
      </c>
      <c r="B892" t="s">
        <v>256</v>
      </c>
      <c r="C892" s="1">
        <v>39552</v>
      </c>
      <c r="D892" t="s">
        <v>30</v>
      </c>
      <c r="E892" t="s">
        <v>15</v>
      </c>
      <c r="F892" t="s">
        <v>31</v>
      </c>
      <c r="G892" t="s">
        <v>39</v>
      </c>
      <c r="H892" t="s">
        <v>257</v>
      </c>
      <c r="J892" t="s">
        <v>258</v>
      </c>
      <c r="K892" s="2">
        <v>31.23</v>
      </c>
      <c r="L892">
        <v>63</v>
      </c>
      <c r="M892">
        <f t="shared" si="13"/>
        <v>1967.49</v>
      </c>
    </row>
    <row r="893" spans="1:13">
      <c r="A893" t="s">
        <v>255</v>
      </c>
      <c r="B893" t="s">
        <v>256</v>
      </c>
      <c r="C893" s="1">
        <v>39552</v>
      </c>
      <c r="D893" t="s">
        <v>136</v>
      </c>
      <c r="E893" t="s">
        <v>15</v>
      </c>
      <c r="F893" t="s">
        <v>35</v>
      </c>
      <c r="G893" t="s">
        <v>39</v>
      </c>
      <c r="H893" t="s">
        <v>257</v>
      </c>
      <c r="J893" t="s">
        <v>258</v>
      </c>
      <c r="K893" s="2">
        <v>81</v>
      </c>
      <c r="L893">
        <v>15</v>
      </c>
      <c r="M893">
        <f t="shared" si="13"/>
        <v>1215</v>
      </c>
    </row>
    <row r="894" spans="1:13">
      <c r="A894" t="s">
        <v>255</v>
      </c>
      <c r="B894" t="s">
        <v>256</v>
      </c>
      <c r="C894" s="1">
        <v>39552</v>
      </c>
      <c r="D894" t="s">
        <v>36</v>
      </c>
      <c r="E894" t="s">
        <v>15</v>
      </c>
      <c r="F894" t="s">
        <v>37</v>
      </c>
      <c r="G894" t="s">
        <v>39</v>
      </c>
      <c r="H894" t="s">
        <v>257</v>
      </c>
      <c r="J894" t="s">
        <v>258</v>
      </c>
      <c r="K894" s="2">
        <v>19</v>
      </c>
      <c r="L894">
        <v>11</v>
      </c>
      <c r="M894">
        <f t="shared" si="13"/>
        <v>209</v>
      </c>
    </row>
    <row r="895" spans="1:13">
      <c r="A895" t="s">
        <v>255</v>
      </c>
      <c r="B895" t="s">
        <v>256</v>
      </c>
      <c r="C895" s="1">
        <v>40104</v>
      </c>
      <c r="D895" t="s">
        <v>52</v>
      </c>
      <c r="E895" t="s">
        <v>103</v>
      </c>
      <c r="F895" t="s">
        <v>54</v>
      </c>
      <c r="G895" t="s">
        <v>17</v>
      </c>
      <c r="H895" t="s">
        <v>257</v>
      </c>
      <c r="J895" t="s">
        <v>258</v>
      </c>
      <c r="K895" s="2">
        <v>55</v>
      </c>
      <c r="L895">
        <v>45</v>
      </c>
      <c r="M895">
        <f t="shared" si="13"/>
        <v>2475</v>
      </c>
    </row>
    <row r="896" spans="1:13">
      <c r="A896" t="s">
        <v>255</v>
      </c>
      <c r="B896" t="s">
        <v>256</v>
      </c>
      <c r="C896" s="1">
        <v>39960</v>
      </c>
      <c r="D896" t="s">
        <v>137</v>
      </c>
      <c r="E896" t="s">
        <v>66</v>
      </c>
      <c r="F896" t="s">
        <v>76</v>
      </c>
      <c r="G896" t="s">
        <v>17</v>
      </c>
      <c r="H896" t="s">
        <v>257</v>
      </c>
      <c r="J896" t="s">
        <v>258</v>
      </c>
      <c r="K896" s="2">
        <v>12.5</v>
      </c>
      <c r="L896">
        <v>55</v>
      </c>
      <c r="M896">
        <f t="shared" si="13"/>
        <v>687.5</v>
      </c>
    </row>
    <row r="897" spans="1:13">
      <c r="A897" t="s">
        <v>255</v>
      </c>
      <c r="B897" t="s">
        <v>256</v>
      </c>
      <c r="C897" s="1">
        <v>39960</v>
      </c>
      <c r="D897" t="s">
        <v>60</v>
      </c>
      <c r="E897" t="s">
        <v>66</v>
      </c>
      <c r="F897" t="s">
        <v>61</v>
      </c>
      <c r="G897" t="s">
        <v>17</v>
      </c>
      <c r="H897" t="s">
        <v>257</v>
      </c>
      <c r="J897" t="s">
        <v>258</v>
      </c>
      <c r="K897" s="2">
        <v>9.5</v>
      </c>
      <c r="L897">
        <v>100</v>
      </c>
      <c r="M897">
        <f t="shared" si="13"/>
        <v>950</v>
      </c>
    </row>
    <row r="898" spans="1:13">
      <c r="A898" t="s">
        <v>255</v>
      </c>
      <c r="B898" t="s">
        <v>256</v>
      </c>
      <c r="C898" s="1">
        <v>39960</v>
      </c>
      <c r="D898" t="s">
        <v>85</v>
      </c>
      <c r="E898" t="s">
        <v>66</v>
      </c>
      <c r="F898" t="s">
        <v>33</v>
      </c>
      <c r="G898" t="s">
        <v>17</v>
      </c>
      <c r="H898" t="s">
        <v>257</v>
      </c>
      <c r="J898" t="s">
        <v>258</v>
      </c>
      <c r="K898" s="2">
        <v>53</v>
      </c>
      <c r="L898">
        <v>48</v>
      </c>
      <c r="M898">
        <f t="shared" si="13"/>
        <v>2544</v>
      </c>
    </row>
    <row r="899" spans="1:13">
      <c r="A899" t="s">
        <v>255</v>
      </c>
      <c r="B899" t="s">
        <v>256</v>
      </c>
      <c r="C899" s="1">
        <v>40089</v>
      </c>
      <c r="D899" t="s">
        <v>38</v>
      </c>
      <c r="E899" t="s">
        <v>53</v>
      </c>
      <c r="F899" t="s">
        <v>29</v>
      </c>
      <c r="G899" t="s">
        <v>17</v>
      </c>
      <c r="H899" t="s">
        <v>257</v>
      </c>
      <c r="J899" t="s">
        <v>258</v>
      </c>
      <c r="K899" s="2">
        <v>49.3</v>
      </c>
      <c r="L899">
        <v>48</v>
      </c>
      <c r="M899">
        <f t="shared" ref="M899:M962" si="14">K899*L899</f>
        <v>2366.3999999999996</v>
      </c>
    </row>
    <row r="900" spans="1:13">
      <c r="A900" t="s">
        <v>255</v>
      </c>
      <c r="B900" t="s">
        <v>256</v>
      </c>
      <c r="C900" s="1">
        <v>39539</v>
      </c>
      <c r="D900" t="s">
        <v>36</v>
      </c>
      <c r="E900" t="s">
        <v>21</v>
      </c>
      <c r="F900" t="s">
        <v>37</v>
      </c>
      <c r="G900" t="s">
        <v>39</v>
      </c>
      <c r="H900" t="s">
        <v>257</v>
      </c>
      <c r="J900" t="s">
        <v>258</v>
      </c>
      <c r="K900" s="2">
        <v>19</v>
      </c>
      <c r="L900">
        <v>50</v>
      </c>
      <c r="M900">
        <f t="shared" si="14"/>
        <v>950</v>
      </c>
    </row>
    <row r="901" spans="1:13">
      <c r="A901" t="s">
        <v>255</v>
      </c>
      <c r="B901" t="s">
        <v>256</v>
      </c>
      <c r="C901" s="1">
        <v>39997</v>
      </c>
      <c r="D901" t="s">
        <v>42</v>
      </c>
      <c r="E901" t="s">
        <v>53</v>
      </c>
      <c r="F901" t="s">
        <v>22</v>
      </c>
      <c r="G901" t="s">
        <v>17</v>
      </c>
      <c r="H901" t="s">
        <v>257</v>
      </c>
      <c r="J901" t="s">
        <v>258</v>
      </c>
      <c r="K901" s="2">
        <v>62.5</v>
      </c>
      <c r="L901">
        <v>40</v>
      </c>
      <c r="M901">
        <f t="shared" si="14"/>
        <v>2500</v>
      </c>
    </row>
    <row r="902" spans="1:13">
      <c r="A902" t="s">
        <v>255</v>
      </c>
      <c r="B902" t="s">
        <v>256</v>
      </c>
      <c r="C902" s="1">
        <v>39665</v>
      </c>
      <c r="D902" t="s">
        <v>102</v>
      </c>
      <c r="E902" t="s">
        <v>15</v>
      </c>
      <c r="F902" t="s">
        <v>47</v>
      </c>
      <c r="G902" t="s">
        <v>17</v>
      </c>
      <c r="H902" t="s">
        <v>257</v>
      </c>
      <c r="J902" t="s">
        <v>258</v>
      </c>
      <c r="K902" s="2">
        <v>24.8</v>
      </c>
      <c r="L902">
        <v>24</v>
      </c>
      <c r="M902">
        <f t="shared" si="14"/>
        <v>595.20000000000005</v>
      </c>
    </row>
    <row r="903" spans="1:13">
      <c r="A903" t="s">
        <v>255</v>
      </c>
      <c r="B903" t="s">
        <v>256</v>
      </c>
      <c r="C903" s="1">
        <v>39830</v>
      </c>
      <c r="D903" t="s">
        <v>36</v>
      </c>
      <c r="E903" t="s">
        <v>24</v>
      </c>
      <c r="F903" t="s">
        <v>37</v>
      </c>
      <c r="G903" t="s">
        <v>17</v>
      </c>
      <c r="H903" t="s">
        <v>257</v>
      </c>
      <c r="J903" t="s">
        <v>258</v>
      </c>
      <c r="K903" s="2">
        <v>15.2</v>
      </c>
      <c r="L903">
        <v>60</v>
      </c>
      <c r="M903">
        <f t="shared" si="14"/>
        <v>912</v>
      </c>
    </row>
    <row r="904" spans="1:13">
      <c r="A904" t="s">
        <v>255</v>
      </c>
      <c r="B904" t="s">
        <v>256</v>
      </c>
      <c r="C904" s="1">
        <v>39830</v>
      </c>
      <c r="D904" t="s">
        <v>170</v>
      </c>
      <c r="E904" t="s">
        <v>24</v>
      </c>
      <c r="F904" t="s">
        <v>101</v>
      </c>
      <c r="G904" t="s">
        <v>17</v>
      </c>
      <c r="H904" t="s">
        <v>257</v>
      </c>
      <c r="J904" t="s">
        <v>258</v>
      </c>
      <c r="K904" s="2">
        <v>7.6</v>
      </c>
      <c r="L904">
        <v>55</v>
      </c>
      <c r="M904">
        <f t="shared" si="14"/>
        <v>418</v>
      </c>
    </row>
    <row r="905" spans="1:13">
      <c r="A905" t="s">
        <v>255</v>
      </c>
      <c r="B905" t="s">
        <v>256</v>
      </c>
      <c r="C905" s="1">
        <v>39830</v>
      </c>
      <c r="D905" t="s">
        <v>28</v>
      </c>
      <c r="E905" t="s">
        <v>24</v>
      </c>
      <c r="F905" t="s">
        <v>29</v>
      </c>
      <c r="G905" t="s">
        <v>17</v>
      </c>
      <c r="H905" t="s">
        <v>257</v>
      </c>
      <c r="J905" t="s">
        <v>258</v>
      </c>
      <c r="K905" s="2">
        <v>22.8</v>
      </c>
      <c r="L905">
        <v>16</v>
      </c>
      <c r="M905">
        <f t="shared" si="14"/>
        <v>364.8</v>
      </c>
    </row>
    <row r="906" spans="1:13">
      <c r="A906" t="s">
        <v>255</v>
      </c>
      <c r="B906" t="s">
        <v>256</v>
      </c>
      <c r="C906" s="1">
        <v>39830</v>
      </c>
      <c r="D906" t="s">
        <v>179</v>
      </c>
      <c r="E906" t="s">
        <v>24</v>
      </c>
      <c r="F906" t="s">
        <v>47</v>
      </c>
      <c r="G906" t="s">
        <v>17</v>
      </c>
      <c r="H906" t="s">
        <v>257</v>
      </c>
      <c r="J906" t="s">
        <v>258</v>
      </c>
      <c r="K906" s="2">
        <v>8</v>
      </c>
      <c r="L906">
        <v>15</v>
      </c>
      <c r="M906">
        <f t="shared" si="14"/>
        <v>120</v>
      </c>
    </row>
    <row r="907" spans="1:13">
      <c r="A907" t="s">
        <v>255</v>
      </c>
      <c r="B907" t="s">
        <v>256</v>
      </c>
      <c r="C907" s="1">
        <v>40104</v>
      </c>
      <c r="D907" t="s">
        <v>75</v>
      </c>
      <c r="E907" t="s">
        <v>103</v>
      </c>
      <c r="F907" t="s">
        <v>76</v>
      </c>
      <c r="G907" t="s">
        <v>17</v>
      </c>
      <c r="H907" t="s">
        <v>257</v>
      </c>
      <c r="J907" t="s">
        <v>258</v>
      </c>
      <c r="K907" s="2">
        <v>34.799999999999997</v>
      </c>
      <c r="L907">
        <v>7</v>
      </c>
      <c r="M907">
        <f t="shared" si="14"/>
        <v>243.59999999999997</v>
      </c>
    </row>
    <row r="908" spans="1:13">
      <c r="A908" t="s">
        <v>255</v>
      </c>
      <c r="B908" t="s">
        <v>256</v>
      </c>
      <c r="C908" s="1">
        <v>39952</v>
      </c>
      <c r="D908" t="s">
        <v>82</v>
      </c>
      <c r="E908" t="s">
        <v>15</v>
      </c>
      <c r="F908" t="s">
        <v>35</v>
      </c>
      <c r="G908" t="s">
        <v>17</v>
      </c>
      <c r="H908" t="s">
        <v>257</v>
      </c>
      <c r="J908" t="s">
        <v>258</v>
      </c>
      <c r="K908" s="2">
        <v>12.5</v>
      </c>
      <c r="L908">
        <v>35</v>
      </c>
      <c r="M908">
        <f t="shared" si="14"/>
        <v>437.5</v>
      </c>
    </row>
    <row r="909" spans="1:13">
      <c r="A909" t="s">
        <v>255</v>
      </c>
      <c r="B909" t="s">
        <v>256</v>
      </c>
      <c r="C909" s="1">
        <v>39539</v>
      </c>
      <c r="D909" t="s">
        <v>96</v>
      </c>
      <c r="E909" t="s">
        <v>21</v>
      </c>
      <c r="F909" t="s">
        <v>97</v>
      </c>
      <c r="G909" t="s">
        <v>39</v>
      </c>
      <c r="H909" t="s">
        <v>257</v>
      </c>
      <c r="J909" t="s">
        <v>258</v>
      </c>
      <c r="K909" s="2">
        <v>18</v>
      </c>
      <c r="L909">
        <v>90</v>
      </c>
      <c r="M909">
        <f t="shared" si="14"/>
        <v>1620</v>
      </c>
    </row>
    <row r="910" spans="1:13">
      <c r="A910" t="s">
        <v>255</v>
      </c>
      <c r="B910" t="s">
        <v>256</v>
      </c>
      <c r="C910" s="1">
        <v>39952</v>
      </c>
      <c r="D910" t="s">
        <v>151</v>
      </c>
      <c r="E910" t="s">
        <v>15</v>
      </c>
      <c r="F910" t="s">
        <v>37</v>
      </c>
      <c r="G910" t="s">
        <v>17</v>
      </c>
      <c r="H910" t="s">
        <v>257</v>
      </c>
      <c r="J910" t="s">
        <v>258</v>
      </c>
      <c r="K910" s="2">
        <v>10</v>
      </c>
      <c r="L910">
        <v>60</v>
      </c>
      <c r="M910">
        <f t="shared" si="14"/>
        <v>600</v>
      </c>
    </row>
    <row r="911" spans="1:13">
      <c r="A911" t="s">
        <v>255</v>
      </c>
      <c r="B911" t="s">
        <v>256</v>
      </c>
      <c r="C911" s="1">
        <v>39539</v>
      </c>
      <c r="D911" t="s">
        <v>116</v>
      </c>
      <c r="E911" t="s">
        <v>21</v>
      </c>
      <c r="F911" t="s">
        <v>22</v>
      </c>
      <c r="G911" t="s">
        <v>39</v>
      </c>
      <c r="H911" t="s">
        <v>257</v>
      </c>
      <c r="J911" t="s">
        <v>258</v>
      </c>
      <c r="K911" s="2">
        <v>15</v>
      </c>
      <c r="L911">
        <v>20</v>
      </c>
      <c r="M911">
        <f t="shared" si="14"/>
        <v>300</v>
      </c>
    </row>
    <row r="912" spans="1:13">
      <c r="A912" t="s">
        <v>255</v>
      </c>
      <c r="B912" t="s">
        <v>256</v>
      </c>
      <c r="C912" s="1">
        <v>39665</v>
      </c>
      <c r="D912" t="s">
        <v>40</v>
      </c>
      <c r="E912" t="s">
        <v>15</v>
      </c>
      <c r="F912" t="s">
        <v>41</v>
      </c>
      <c r="G912" t="s">
        <v>17</v>
      </c>
      <c r="H912" t="s">
        <v>257</v>
      </c>
      <c r="J912" t="s">
        <v>258</v>
      </c>
      <c r="K912" s="2">
        <v>2</v>
      </c>
      <c r="L912">
        <v>20</v>
      </c>
      <c r="M912">
        <f t="shared" si="14"/>
        <v>40</v>
      </c>
    </row>
    <row r="913" spans="1:13">
      <c r="A913" t="s">
        <v>255</v>
      </c>
      <c r="B913" t="s">
        <v>256</v>
      </c>
      <c r="C913" s="1">
        <v>39725</v>
      </c>
      <c r="D913" t="s">
        <v>23</v>
      </c>
      <c r="E913" t="s">
        <v>53</v>
      </c>
      <c r="F913" t="s">
        <v>25</v>
      </c>
      <c r="G913" t="s">
        <v>17</v>
      </c>
      <c r="H913" t="s">
        <v>257</v>
      </c>
      <c r="J913" t="s">
        <v>258</v>
      </c>
      <c r="K913" s="2">
        <v>32</v>
      </c>
      <c r="L913">
        <v>70</v>
      </c>
      <c r="M913">
        <f t="shared" si="14"/>
        <v>2240</v>
      </c>
    </row>
    <row r="914" spans="1:13">
      <c r="A914" t="s">
        <v>255</v>
      </c>
      <c r="B914" t="s">
        <v>256</v>
      </c>
      <c r="C914" s="1">
        <v>39725</v>
      </c>
      <c r="D914" t="s">
        <v>64</v>
      </c>
      <c r="E914" t="s">
        <v>53</v>
      </c>
      <c r="F914" t="s">
        <v>35</v>
      </c>
      <c r="G914" t="s">
        <v>17</v>
      </c>
      <c r="H914" t="s">
        <v>257</v>
      </c>
      <c r="J914" t="s">
        <v>258</v>
      </c>
      <c r="K914" s="2">
        <v>7.3</v>
      </c>
      <c r="L914">
        <v>80</v>
      </c>
      <c r="M914">
        <f t="shared" si="14"/>
        <v>584</v>
      </c>
    </row>
    <row r="915" spans="1:13">
      <c r="A915" t="s">
        <v>255</v>
      </c>
      <c r="B915" t="s">
        <v>256</v>
      </c>
      <c r="C915" s="1">
        <v>39725</v>
      </c>
      <c r="D915" t="s">
        <v>110</v>
      </c>
      <c r="E915" t="s">
        <v>53</v>
      </c>
      <c r="F915" t="s">
        <v>74</v>
      </c>
      <c r="G915" t="s">
        <v>17</v>
      </c>
      <c r="H915" t="s">
        <v>257</v>
      </c>
      <c r="J915" t="s">
        <v>258</v>
      </c>
      <c r="K915" s="2">
        <v>11.2</v>
      </c>
      <c r="L915">
        <v>9</v>
      </c>
      <c r="M915">
        <f t="shared" si="14"/>
        <v>100.8</v>
      </c>
    </row>
    <row r="916" spans="1:13">
      <c r="A916" t="s">
        <v>255</v>
      </c>
      <c r="B916" t="s">
        <v>256</v>
      </c>
      <c r="C916" s="1">
        <v>40104</v>
      </c>
      <c r="D916" t="s">
        <v>42</v>
      </c>
      <c r="E916" t="s">
        <v>103</v>
      </c>
      <c r="F916" t="s">
        <v>22</v>
      </c>
      <c r="G916" t="s">
        <v>17</v>
      </c>
      <c r="H916" t="s">
        <v>257</v>
      </c>
      <c r="J916" t="s">
        <v>258</v>
      </c>
      <c r="K916" s="2">
        <v>62.5</v>
      </c>
      <c r="L916">
        <v>24</v>
      </c>
      <c r="M916">
        <f t="shared" si="14"/>
        <v>1500</v>
      </c>
    </row>
    <row r="917" spans="1:13">
      <c r="A917" t="s">
        <v>255</v>
      </c>
      <c r="B917" t="s">
        <v>256</v>
      </c>
      <c r="C917" s="1">
        <v>40104</v>
      </c>
      <c r="D917" t="s">
        <v>73</v>
      </c>
      <c r="E917" t="s">
        <v>103</v>
      </c>
      <c r="F917" t="s">
        <v>74</v>
      </c>
      <c r="G917" t="s">
        <v>17</v>
      </c>
      <c r="H917" t="s">
        <v>257</v>
      </c>
      <c r="J917" t="s">
        <v>258</v>
      </c>
      <c r="K917" s="2">
        <v>19.45</v>
      </c>
      <c r="L917">
        <v>16</v>
      </c>
      <c r="M917">
        <f t="shared" si="14"/>
        <v>311.2</v>
      </c>
    </row>
    <row r="918" spans="1:13">
      <c r="A918" t="s">
        <v>255</v>
      </c>
      <c r="B918" t="s">
        <v>256</v>
      </c>
      <c r="C918" s="1">
        <v>39488</v>
      </c>
      <c r="D918" t="s">
        <v>136</v>
      </c>
      <c r="E918" t="s">
        <v>24</v>
      </c>
      <c r="F918" t="s">
        <v>35</v>
      </c>
      <c r="G918" t="s">
        <v>39</v>
      </c>
      <c r="H918" t="s">
        <v>257</v>
      </c>
      <c r="J918" t="s">
        <v>258</v>
      </c>
      <c r="K918" s="2">
        <v>81</v>
      </c>
      <c r="L918">
        <v>20</v>
      </c>
      <c r="M918">
        <f t="shared" si="14"/>
        <v>1620</v>
      </c>
    </row>
    <row r="919" spans="1:13">
      <c r="A919" t="s">
        <v>255</v>
      </c>
      <c r="B919" t="s">
        <v>256</v>
      </c>
      <c r="C919" s="1">
        <v>39938</v>
      </c>
      <c r="D919" t="s">
        <v>57</v>
      </c>
      <c r="E919" t="s">
        <v>50</v>
      </c>
      <c r="F919" t="s">
        <v>58</v>
      </c>
      <c r="G919" t="s">
        <v>17</v>
      </c>
      <c r="H919" t="s">
        <v>257</v>
      </c>
      <c r="J919" t="s">
        <v>258</v>
      </c>
      <c r="K919" s="2">
        <v>19</v>
      </c>
      <c r="L919">
        <v>30</v>
      </c>
      <c r="M919">
        <f t="shared" si="14"/>
        <v>570</v>
      </c>
    </row>
    <row r="920" spans="1:13">
      <c r="A920" t="s">
        <v>255</v>
      </c>
      <c r="B920" t="s">
        <v>256</v>
      </c>
      <c r="C920" s="1">
        <v>39952</v>
      </c>
      <c r="D920" t="s">
        <v>55</v>
      </c>
      <c r="E920" t="s">
        <v>15</v>
      </c>
      <c r="F920" t="s">
        <v>56</v>
      </c>
      <c r="G920" t="s">
        <v>17</v>
      </c>
      <c r="H920" t="s">
        <v>257</v>
      </c>
      <c r="J920" t="s">
        <v>258</v>
      </c>
      <c r="K920" s="2">
        <v>263.5</v>
      </c>
      <c r="L920">
        <v>30</v>
      </c>
      <c r="M920">
        <f t="shared" si="14"/>
        <v>7905</v>
      </c>
    </row>
    <row r="921" spans="1:13">
      <c r="A921" t="s">
        <v>259</v>
      </c>
      <c r="B921" t="s">
        <v>260</v>
      </c>
      <c r="C921" s="1">
        <v>39523</v>
      </c>
      <c r="D921" t="s">
        <v>26</v>
      </c>
      <c r="E921" t="s">
        <v>21</v>
      </c>
      <c r="F921" t="s">
        <v>27</v>
      </c>
      <c r="G921" t="s">
        <v>39</v>
      </c>
      <c r="H921" t="s">
        <v>80</v>
      </c>
      <c r="J921" t="s">
        <v>261</v>
      </c>
      <c r="K921" s="2">
        <v>22</v>
      </c>
      <c r="L921">
        <v>5</v>
      </c>
      <c r="M921">
        <f t="shared" si="14"/>
        <v>110</v>
      </c>
    </row>
    <row r="922" spans="1:13">
      <c r="A922" t="s">
        <v>259</v>
      </c>
      <c r="B922" t="s">
        <v>260</v>
      </c>
      <c r="C922" s="1">
        <v>40074</v>
      </c>
      <c r="D922" t="s">
        <v>57</v>
      </c>
      <c r="E922" t="s">
        <v>24</v>
      </c>
      <c r="F922" t="s">
        <v>58</v>
      </c>
      <c r="G922" t="s">
        <v>39</v>
      </c>
      <c r="H922" t="s">
        <v>80</v>
      </c>
      <c r="J922" t="s">
        <v>261</v>
      </c>
      <c r="K922" s="2">
        <v>19</v>
      </c>
      <c r="L922">
        <v>30</v>
      </c>
      <c r="M922">
        <f t="shared" si="14"/>
        <v>570</v>
      </c>
    </row>
    <row r="923" spans="1:13">
      <c r="A923" t="s">
        <v>259</v>
      </c>
      <c r="B923" t="s">
        <v>260</v>
      </c>
      <c r="C923" s="1">
        <v>40074</v>
      </c>
      <c r="D923" t="s">
        <v>75</v>
      </c>
      <c r="E923" t="s">
        <v>24</v>
      </c>
      <c r="F923" t="s">
        <v>76</v>
      </c>
      <c r="G923" t="s">
        <v>39</v>
      </c>
      <c r="H923" t="s">
        <v>80</v>
      </c>
      <c r="J923" t="s">
        <v>261</v>
      </c>
      <c r="K923" s="2">
        <v>34.799999999999997</v>
      </c>
      <c r="L923">
        <v>30</v>
      </c>
      <c r="M923">
        <f t="shared" si="14"/>
        <v>1044</v>
      </c>
    </row>
    <row r="924" spans="1:13">
      <c r="A924" t="s">
        <v>259</v>
      </c>
      <c r="B924" t="s">
        <v>260</v>
      </c>
      <c r="C924" s="1">
        <v>39816</v>
      </c>
      <c r="D924" t="s">
        <v>30</v>
      </c>
      <c r="E924" t="s">
        <v>53</v>
      </c>
      <c r="F924" t="s">
        <v>31</v>
      </c>
      <c r="G924" t="s">
        <v>17</v>
      </c>
      <c r="H924" t="s">
        <v>80</v>
      </c>
      <c r="J924" t="s">
        <v>261</v>
      </c>
      <c r="K924" s="2">
        <v>24.9</v>
      </c>
      <c r="L924">
        <v>30</v>
      </c>
      <c r="M924">
        <f t="shared" si="14"/>
        <v>747</v>
      </c>
    </row>
    <row r="925" spans="1:13">
      <c r="A925" t="s">
        <v>259</v>
      </c>
      <c r="B925" t="s">
        <v>260</v>
      </c>
      <c r="C925" s="1">
        <v>40111</v>
      </c>
      <c r="D925" t="s">
        <v>185</v>
      </c>
      <c r="E925" t="s">
        <v>89</v>
      </c>
      <c r="F925" t="s">
        <v>134</v>
      </c>
      <c r="G925" t="s">
        <v>39</v>
      </c>
      <c r="H925" t="s">
        <v>80</v>
      </c>
      <c r="J925" t="s">
        <v>261</v>
      </c>
      <c r="K925" s="2">
        <v>18.399999999999999</v>
      </c>
      <c r="L925">
        <v>3</v>
      </c>
      <c r="M925">
        <f t="shared" si="14"/>
        <v>55.199999999999996</v>
      </c>
    </row>
    <row r="926" spans="1:13">
      <c r="A926" t="s">
        <v>259</v>
      </c>
      <c r="B926" t="s">
        <v>260</v>
      </c>
      <c r="C926" s="1">
        <v>39517</v>
      </c>
      <c r="D926" t="s">
        <v>171</v>
      </c>
      <c r="E926" t="s">
        <v>53</v>
      </c>
      <c r="F926" t="s">
        <v>45</v>
      </c>
      <c r="G926" t="s">
        <v>39</v>
      </c>
      <c r="H926" t="s">
        <v>80</v>
      </c>
      <c r="J926" t="s">
        <v>261</v>
      </c>
      <c r="K926" s="2">
        <v>14</v>
      </c>
      <c r="L926">
        <v>40</v>
      </c>
      <c r="M926">
        <f t="shared" si="14"/>
        <v>560</v>
      </c>
    </row>
    <row r="927" spans="1:13">
      <c r="A927" t="s">
        <v>259</v>
      </c>
      <c r="B927" t="s">
        <v>260</v>
      </c>
      <c r="C927" s="1">
        <v>39517</v>
      </c>
      <c r="D927" t="s">
        <v>36</v>
      </c>
      <c r="E927" t="s">
        <v>53</v>
      </c>
      <c r="F927" t="s">
        <v>37</v>
      </c>
      <c r="G927" t="s">
        <v>39</v>
      </c>
      <c r="H927" t="s">
        <v>80</v>
      </c>
      <c r="J927" t="s">
        <v>261</v>
      </c>
      <c r="K927" s="2">
        <v>19</v>
      </c>
      <c r="L927">
        <v>10</v>
      </c>
      <c r="M927">
        <f t="shared" si="14"/>
        <v>190</v>
      </c>
    </row>
    <row r="928" spans="1:13">
      <c r="A928" t="s">
        <v>259</v>
      </c>
      <c r="B928" t="s">
        <v>260</v>
      </c>
      <c r="C928" s="1">
        <v>40074</v>
      </c>
      <c r="D928" t="s">
        <v>109</v>
      </c>
      <c r="E928" t="s">
        <v>24</v>
      </c>
      <c r="F928" t="s">
        <v>56</v>
      </c>
      <c r="G928" t="s">
        <v>39</v>
      </c>
      <c r="H928" t="s">
        <v>80</v>
      </c>
      <c r="J928" t="s">
        <v>261</v>
      </c>
      <c r="K928" s="2">
        <v>18</v>
      </c>
      <c r="L928">
        <v>2</v>
      </c>
      <c r="M928">
        <f t="shared" si="14"/>
        <v>36</v>
      </c>
    </row>
    <row r="929" spans="1:13">
      <c r="A929" t="s">
        <v>259</v>
      </c>
      <c r="B929" t="s">
        <v>260</v>
      </c>
      <c r="C929" s="1">
        <v>39454</v>
      </c>
      <c r="D929" t="s">
        <v>138</v>
      </c>
      <c r="E929" t="s">
        <v>50</v>
      </c>
      <c r="F929" t="s">
        <v>76</v>
      </c>
      <c r="G929" t="s">
        <v>39</v>
      </c>
      <c r="H929" t="s">
        <v>80</v>
      </c>
      <c r="J929" t="s">
        <v>261</v>
      </c>
      <c r="K929" s="2">
        <v>32</v>
      </c>
      <c r="L929">
        <v>20</v>
      </c>
      <c r="M929">
        <f t="shared" si="14"/>
        <v>640</v>
      </c>
    </row>
    <row r="930" spans="1:13">
      <c r="A930" t="s">
        <v>259</v>
      </c>
      <c r="B930" t="s">
        <v>260</v>
      </c>
      <c r="C930" s="1">
        <v>39454</v>
      </c>
      <c r="D930" t="s">
        <v>133</v>
      </c>
      <c r="E930" t="s">
        <v>50</v>
      </c>
      <c r="F930" t="s">
        <v>134</v>
      </c>
      <c r="G930" t="s">
        <v>39</v>
      </c>
      <c r="H930" t="s">
        <v>80</v>
      </c>
      <c r="J930" t="s">
        <v>261</v>
      </c>
      <c r="K930" s="2">
        <v>9.65</v>
      </c>
      <c r="L930">
        <v>20</v>
      </c>
      <c r="M930">
        <f t="shared" si="14"/>
        <v>193</v>
      </c>
    </row>
    <row r="931" spans="1:13">
      <c r="A931" t="s">
        <v>259</v>
      </c>
      <c r="B931" t="s">
        <v>260</v>
      </c>
      <c r="C931" s="1">
        <v>39816</v>
      </c>
      <c r="D931" t="s">
        <v>110</v>
      </c>
      <c r="E931" t="s">
        <v>53</v>
      </c>
      <c r="F931" t="s">
        <v>74</v>
      </c>
      <c r="G931" t="s">
        <v>17</v>
      </c>
      <c r="H931" t="s">
        <v>80</v>
      </c>
      <c r="J931" t="s">
        <v>261</v>
      </c>
      <c r="K931" s="2">
        <v>11.2</v>
      </c>
      <c r="L931">
        <v>40</v>
      </c>
      <c r="M931">
        <f t="shared" si="14"/>
        <v>448</v>
      </c>
    </row>
    <row r="932" spans="1:13">
      <c r="A932" t="s">
        <v>259</v>
      </c>
      <c r="B932" t="s">
        <v>260</v>
      </c>
      <c r="C932" s="1">
        <v>39700</v>
      </c>
      <c r="D932" t="s">
        <v>82</v>
      </c>
      <c r="E932" t="s">
        <v>53</v>
      </c>
      <c r="F932" t="s">
        <v>35</v>
      </c>
      <c r="G932" t="s">
        <v>17</v>
      </c>
      <c r="H932" t="s">
        <v>80</v>
      </c>
      <c r="J932" t="s">
        <v>261</v>
      </c>
      <c r="K932" s="2">
        <v>10</v>
      </c>
      <c r="L932">
        <v>20</v>
      </c>
      <c r="M932">
        <f t="shared" si="14"/>
        <v>200</v>
      </c>
    </row>
    <row r="933" spans="1:13">
      <c r="A933" t="s">
        <v>259</v>
      </c>
      <c r="B933" t="s">
        <v>260</v>
      </c>
      <c r="C933" s="1">
        <v>39700</v>
      </c>
      <c r="D933" t="s">
        <v>152</v>
      </c>
      <c r="E933" t="s">
        <v>53</v>
      </c>
      <c r="F933" t="s">
        <v>27</v>
      </c>
      <c r="G933" t="s">
        <v>17</v>
      </c>
      <c r="H933" t="s">
        <v>80</v>
      </c>
      <c r="J933" t="s">
        <v>261</v>
      </c>
      <c r="K933" s="2">
        <v>13.6</v>
      </c>
      <c r="L933">
        <v>30</v>
      </c>
      <c r="M933">
        <f t="shared" si="14"/>
        <v>408</v>
      </c>
    </row>
    <row r="934" spans="1:13">
      <c r="A934" t="s">
        <v>259</v>
      </c>
      <c r="B934" t="s">
        <v>260</v>
      </c>
      <c r="C934" s="1">
        <v>39878</v>
      </c>
      <c r="D934" t="s">
        <v>98</v>
      </c>
      <c r="E934" t="s">
        <v>67</v>
      </c>
      <c r="F934" t="s">
        <v>99</v>
      </c>
      <c r="G934" t="s">
        <v>17</v>
      </c>
      <c r="H934" t="s">
        <v>80</v>
      </c>
      <c r="J934" t="s">
        <v>261</v>
      </c>
      <c r="K934" s="2">
        <v>3.6</v>
      </c>
      <c r="L934">
        <v>28</v>
      </c>
      <c r="M934">
        <f t="shared" si="14"/>
        <v>100.8</v>
      </c>
    </row>
    <row r="935" spans="1:13">
      <c r="A935" t="s">
        <v>259</v>
      </c>
      <c r="B935" t="s">
        <v>260</v>
      </c>
      <c r="C935" s="1">
        <v>40043</v>
      </c>
      <c r="D935" t="s">
        <v>149</v>
      </c>
      <c r="E935" t="s">
        <v>67</v>
      </c>
      <c r="F935" t="s">
        <v>27</v>
      </c>
      <c r="G935" t="s">
        <v>17</v>
      </c>
      <c r="H935" t="s">
        <v>80</v>
      </c>
      <c r="J935" t="s">
        <v>261</v>
      </c>
      <c r="K935" s="2">
        <v>21.35</v>
      </c>
      <c r="L935">
        <v>15</v>
      </c>
      <c r="M935">
        <f t="shared" si="14"/>
        <v>320.25</v>
      </c>
    </row>
    <row r="936" spans="1:13">
      <c r="A936" t="s">
        <v>259</v>
      </c>
      <c r="B936" t="s">
        <v>260</v>
      </c>
      <c r="C936" s="1">
        <v>40043</v>
      </c>
      <c r="D936" t="s">
        <v>117</v>
      </c>
      <c r="E936" t="s">
        <v>67</v>
      </c>
      <c r="F936" t="s">
        <v>118</v>
      </c>
      <c r="G936" t="s">
        <v>17</v>
      </c>
      <c r="H936" t="s">
        <v>80</v>
      </c>
      <c r="J936" t="s">
        <v>261</v>
      </c>
      <c r="K936" s="2">
        <v>21</v>
      </c>
      <c r="L936">
        <v>40</v>
      </c>
      <c r="M936">
        <f t="shared" si="14"/>
        <v>840</v>
      </c>
    </row>
    <row r="937" spans="1:13">
      <c r="A937" t="s">
        <v>259</v>
      </c>
      <c r="B937" t="s">
        <v>260</v>
      </c>
      <c r="C937" s="1">
        <v>39667</v>
      </c>
      <c r="D937" t="s">
        <v>98</v>
      </c>
      <c r="E937" t="s">
        <v>21</v>
      </c>
      <c r="F937" t="s">
        <v>99</v>
      </c>
      <c r="G937" t="s">
        <v>17</v>
      </c>
      <c r="H937" t="s">
        <v>80</v>
      </c>
      <c r="J937" t="s">
        <v>261</v>
      </c>
      <c r="K937" s="2">
        <v>3.6</v>
      </c>
      <c r="L937">
        <v>12</v>
      </c>
      <c r="M937">
        <f t="shared" si="14"/>
        <v>43.2</v>
      </c>
    </row>
    <row r="938" spans="1:13">
      <c r="A938" t="s">
        <v>259</v>
      </c>
      <c r="B938" t="s">
        <v>260</v>
      </c>
      <c r="C938" s="1">
        <v>39667</v>
      </c>
      <c r="D938" t="s">
        <v>52</v>
      </c>
      <c r="E938" t="s">
        <v>21</v>
      </c>
      <c r="F938" t="s">
        <v>54</v>
      </c>
      <c r="G938" t="s">
        <v>17</v>
      </c>
      <c r="H938" t="s">
        <v>80</v>
      </c>
      <c r="J938" t="s">
        <v>261</v>
      </c>
      <c r="K938" s="2">
        <v>44</v>
      </c>
      <c r="L938">
        <v>6</v>
      </c>
      <c r="M938">
        <f t="shared" si="14"/>
        <v>264</v>
      </c>
    </row>
    <row r="939" spans="1:13">
      <c r="A939" t="s">
        <v>259</v>
      </c>
      <c r="B939" t="s">
        <v>260</v>
      </c>
      <c r="C939" s="1">
        <v>40043</v>
      </c>
      <c r="D939" t="s">
        <v>26</v>
      </c>
      <c r="E939" t="s">
        <v>67</v>
      </c>
      <c r="F939" t="s">
        <v>27</v>
      </c>
      <c r="G939" t="s">
        <v>17</v>
      </c>
      <c r="H939" t="s">
        <v>80</v>
      </c>
      <c r="J939" t="s">
        <v>261</v>
      </c>
      <c r="K939" s="2">
        <v>22</v>
      </c>
      <c r="L939">
        <v>10</v>
      </c>
      <c r="M939">
        <f t="shared" si="14"/>
        <v>220</v>
      </c>
    </row>
    <row r="940" spans="1:13">
      <c r="A940" t="s">
        <v>259</v>
      </c>
      <c r="B940" t="s">
        <v>260</v>
      </c>
      <c r="C940" s="1">
        <v>39878</v>
      </c>
      <c r="D940" t="s">
        <v>122</v>
      </c>
      <c r="E940" t="s">
        <v>67</v>
      </c>
      <c r="F940" t="s">
        <v>31</v>
      </c>
      <c r="G940" t="s">
        <v>17</v>
      </c>
      <c r="H940" t="s">
        <v>80</v>
      </c>
      <c r="J940" t="s">
        <v>261</v>
      </c>
      <c r="K940" s="2">
        <v>11.2</v>
      </c>
      <c r="L940">
        <v>12</v>
      </c>
      <c r="M940">
        <f t="shared" si="14"/>
        <v>134.39999999999998</v>
      </c>
    </row>
    <row r="941" spans="1:13">
      <c r="A941" t="s">
        <v>259</v>
      </c>
      <c r="B941" t="s">
        <v>260</v>
      </c>
      <c r="C941" s="1">
        <v>39816</v>
      </c>
      <c r="D941" t="s">
        <v>119</v>
      </c>
      <c r="E941" t="s">
        <v>53</v>
      </c>
      <c r="F941" t="s">
        <v>97</v>
      </c>
      <c r="G941" t="s">
        <v>17</v>
      </c>
      <c r="H941" t="s">
        <v>80</v>
      </c>
      <c r="J941" t="s">
        <v>261</v>
      </c>
      <c r="K941" s="2">
        <v>16</v>
      </c>
      <c r="L941">
        <v>30</v>
      </c>
      <c r="M941">
        <f t="shared" si="14"/>
        <v>480</v>
      </c>
    </row>
    <row r="942" spans="1:13">
      <c r="A942" t="s">
        <v>262</v>
      </c>
      <c r="B942" t="s">
        <v>263</v>
      </c>
      <c r="C942" s="1">
        <v>39466</v>
      </c>
      <c r="D942" t="s">
        <v>75</v>
      </c>
      <c r="E942" t="s">
        <v>15</v>
      </c>
      <c r="F942" t="s">
        <v>76</v>
      </c>
      <c r="G942" t="s">
        <v>39</v>
      </c>
      <c r="H942" t="s">
        <v>158</v>
      </c>
      <c r="I942" t="s">
        <v>163</v>
      </c>
      <c r="J942" t="s">
        <v>264</v>
      </c>
      <c r="K942" s="2">
        <v>34.799999999999997</v>
      </c>
      <c r="L942">
        <v>15</v>
      </c>
      <c r="M942">
        <f t="shared" si="14"/>
        <v>522</v>
      </c>
    </row>
    <row r="943" spans="1:13">
      <c r="A943" t="s">
        <v>262</v>
      </c>
      <c r="B943" t="s">
        <v>263</v>
      </c>
      <c r="C943" s="1">
        <v>39466</v>
      </c>
      <c r="D943" t="s">
        <v>68</v>
      </c>
      <c r="E943" t="s">
        <v>15</v>
      </c>
      <c r="F943" t="s">
        <v>69</v>
      </c>
      <c r="G943" t="s">
        <v>39</v>
      </c>
      <c r="H943" t="s">
        <v>158</v>
      </c>
      <c r="I943" t="s">
        <v>163</v>
      </c>
      <c r="J943" t="s">
        <v>264</v>
      </c>
      <c r="K943" s="2">
        <v>13.25</v>
      </c>
      <c r="L943">
        <v>30</v>
      </c>
      <c r="M943">
        <f t="shared" si="14"/>
        <v>397.5</v>
      </c>
    </row>
    <row r="944" spans="1:13">
      <c r="A944" t="s">
        <v>262</v>
      </c>
      <c r="B944" t="s">
        <v>263</v>
      </c>
      <c r="C944" s="1">
        <v>39462</v>
      </c>
      <c r="D944" t="s">
        <v>88</v>
      </c>
      <c r="E944" t="s">
        <v>21</v>
      </c>
      <c r="F944" t="s">
        <v>51</v>
      </c>
      <c r="G944" t="s">
        <v>39</v>
      </c>
      <c r="H944" t="s">
        <v>158</v>
      </c>
      <c r="I944" t="s">
        <v>163</v>
      </c>
      <c r="J944" t="s">
        <v>264</v>
      </c>
      <c r="K944" s="2">
        <v>123.79</v>
      </c>
      <c r="L944">
        <v>8</v>
      </c>
      <c r="M944">
        <f t="shared" si="14"/>
        <v>990.32</v>
      </c>
    </row>
    <row r="945" spans="1:13">
      <c r="A945" t="s">
        <v>262</v>
      </c>
      <c r="B945" t="s">
        <v>263</v>
      </c>
      <c r="C945" s="1">
        <v>40016</v>
      </c>
      <c r="D945" t="s">
        <v>26</v>
      </c>
      <c r="E945" t="s">
        <v>24</v>
      </c>
      <c r="F945" t="s">
        <v>27</v>
      </c>
      <c r="G945" t="s">
        <v>17</v>
      </c>
      <c r="H945" t="s">
        <v>158</v>
      </c>
      <c r="I945" t="s">
        <v>163</v>
      </c>
      <c r="J945" t="s">
        <v>264</v>
      </c>
      <c r="K945" s="2">
        <v>22</v>
      </c>
      <c r="L945">
        <v>20</v>
      </c>
      <c r="M945">
        <f t="shared" si="14"/>
        <v>440</v>
      </c>
    </row>
    <row r="946" spans="1:13">
      <c r="A946" t="s">
        <v>262</v>
      </c>
      <c r="B946" t="s">
        <v>263</v>
      </c>
      <c r="C946" s="1">
        <v>40016</v>
      </c>
      <c r="D946" t="s">
        <v>148</v>
      </c>
      <c r="E946" t="s">
        <v>24</v>
      </c>
      <c r="F946" t="s">
        <v>16</v>
      </c>
      <c r="G946" t="s">
        <v>17</v>
      </c>
      <c r="H946" t="s">
        <v>158</v>
      </c>
      <c r="I946" t="s">
        <v>163</v>
      </c>
      <c r="J946" t="s">
        <v>264</v>
      </c>
      <c r="K946" s="2">
        <v>24</v>
      </c>
      <c r="L946">
        <v>20</v>
      </c>
      <c r="M946">
        <f t="shared" si="14"/>
        <v>480</v>
      </c>
    </row>
    <row r="947" spans="1:13">
      <c r="A947" t="s">
        <v>262</v>
      </c>
      <c r="B947" t="s">
        <v>263</v>
      </c>
      <c r="C947" s="1">
        <v>40016</v>
      </c>
      <c r="D947" t="s">
        <v>38</v>
      </c>
      <c r="E947" t="s">
        <v>24</v>
      </c>
      <c r="F947" t="s">
        <v>29</v>
      </c>
      <c r="G947" t="s">
        <v>17</v>
      </c>
      <c r="H947" t="s">
        <v>158</v>
      </c>
      <c r="I947" t="s">
        <v>163</v>
      </c>
      <c r="J947" t="s">
        <v>264</v>
      </c>
      <c r="K947" s="2">
        <v>49.3</v>
      </c>
      <c r="L947">
        <v>10</v>
      </c>
      <c r="M947">
        <f t="shared" si="14"/>
        <v>493</v>
      </c>
    </row>
    <row r="948" spans="1:13">
      <c r="A948" t="s">
        <v>262</v>
      </c>
      <c r="B948" t="s">
        <v>263</v>
      </c>
      <c r="C948" s="1">
        <v>39688</v>
      </c>
      <c r="D948" t="s">
        <v>136</v>
      </c>
      <c r="E948" t="s">
        <v>21</v>
      </c>
      <c r="F948" t="s">
        <v>35</v>
      </c>
      <c r="G948" t="s">
        <v>17</v>
      </c>
      <c r="H948" t="s">
        <v>158</v>
      </c>
      <c r="I948" t="s">
        <v>163</v>
      </c>
      <c r="J948" t="s">
        <v>264</v>
      </c>
      <c r="K948" s="2">
        <v>64.8</v>
      </c>
      <c r="L948">
        <v>20</v>
      </c>
      <c r="M948">
        <f t="shared" si="14"/>
        <v>1296</v>
      </c>
    </row>
    <row r="949" spans="1:13">
      <c r="A949" t="s">
        <v>262</v>
      </c>
      <c r="B949" t="s">
        <v>263</v>
      </c>
      <c r="C949" s="1">
        <v>39462</v>
      </c>
      <c r="D949" t="s">
        <v>83</v>
      </c>
      <c r="E949" t="s">
        <v>21</v>
      </c>
      <c r="F949" t="s">
        <v>84</v>
      </c>
      <c r="G949" t="s">
        <v>39</v>
      </c>
      <c r="H949" t="s">
        <v>158</v>
      </c>
      <c r="I949" t="s">
        <v>163</v>
      </c>
      <c r="J949" t="s">
        <v>264</v>
      </c>
      <c r="K949" s="2">
        <v>25.89</v>
      </c>
      <c r="L949">
        <v>20</v>
      </c>
      <c r="M949">
        <f t="shared" si="14"/>
        <v>517.79999999999995</v>
      </c>
    </row>
    <row r="950" spans="1:13">
      <c r="A950" t="s">
        <v>262</v>
      </c>
      <c r="B950" t="s">
        <v>263</v>
      </c>
      <c r="C950" s="1">
        <v>39907</v>
      </c>
      <c r="D950" t="s">
        <v>137</v>
      </c>
      <c r="E950" t="s">
        <v>50</v>
      </c>
      <c r="F950" t="s">
        <v>76</v>
      </c>
      <c r="G950" t="s">
        <v>17</v>
      </c>
      <c r="H950" t="s">
        <v>158</v>
      </c>
      <c r="I950" t="s">
        <v>163</v>
      </c>
      <c r="J950" t="s">
        <v>264</v>
      </c>
      <c r="K950" s="2">
        <v>10</v>
      </c>
      <c r="L950">
        <v>20</v>
      </c>
      <c r="M950">
        <f t="shared" si="14"/>
        <v>200</v>
      </c>
    </row>
    <row r="951" spans="1:13">
      <c r="A951" t="s">
        <v>262</v>
      </c>
      <c r="B951" t="s">
        <v>263</v>
      </c>
      <c r="C951" s="1">
        <v>39460</v>
      </c>
      <c r="D951" t="s">
        <v>82</v>
      </c>
      <c r="E951" t="s">
        <v>24</v>
      </c>
      <c r="F951" t="s">
        <v>35</v>
      </c>
      <c r="G951" t="s">
        <v>39</v>
      </c>
      <c r="H951" t="s">
        <v>158</v>
      </c>
      <c r="I951" t="s">
        <v>163</v>
      </c>
      <c r="J951" t="s">
        <v>264</v>
      </c>
      <c r="K951" s="2">
        <v>12.5</v>
      </c>
      <c r="L951">
        <v>24</v>
      </c>
      <c r="M951">
        <f t="shared" si="14"/>
        <v>300</v>
      </c>
    </row>
    <row r="952" spans="1:13">
      <c r="A952" t="s">
        <v>262</v>
      </c>
      <c r="B952" t="s">
        <v>263</v>
      </c>
      <c r="C952" s="1">
        <v>39460</v>
      </c>
      <c r="D952" t="s">
        <v>109</v>
      </c>
      <c r="E952" t="s">
        <v>24</v>
      </c>
      <c r="F952" t="s">
        <v>56</v>
      </c>
      <c r="G952" t="s">
        <v>39</v>
      </c>
      <c r="H952" t="s">
        <v>158</v>
      </c>
      <c r="I952" t="s">
        <v>163</v>
      </c>
      <c r="J952" t="s">
        <v>264</v>
      </c>
      <c r="K952" s="2">
        <v>18</v>
      </c>
      <c r="L952">
        <v>28</v>
      </c>
      <c r="M952">
        <f t="shared" si="14"/>
        <v>504</v>
      </c>
    </row>
    <row r="953" spans="1:13">
      <c r="A953" t="s">
        <v>262</v>
      </c>
      <c r="B953" t="s">
        <v>263</v>
      </c>
      <c r="C953" s="1">
        <v>39460</v>
      </c>
      <c r="D953" t="s">
        <v>155</v>
      </c>
      <c r="E953" t="s">
        <v>24</v>
      </c>
      <c r="F953" t="s">
        <v>25</v>
      </c>
      <c r="G953" t="s">
        <v>39</v>
      </c>
      <c r="H953" t="s">
        <v>158</v>
      </c>
      <c r="I953" t="s">
        <v>163</v>
      </c>
      <c r="J953" t="s">
        <v>264</v>
      </c>
      <c r="K953" s="2">
        <v>25</v>
      </c>
      <c r="L953">
        <v>6</v>
      </c>
      <c r="M953">
        <f t="shared" si="14"/>
        <v>150</v>
      </c>
    </row>
    <row r="954" spans="1:13">
      <c r="A954" t="s">
        <v>262</v>
      </c>
      <c r="B954" t="s">
        <v>263</v>
      </c>
      <c r="C954" s="1">
        <v>39460</v>
      </c>
      <c r="D954" t="s">
        <v>86</v>
      </c>
      <c r="E954" t="s">
        <v>24</v>
      </c>
      <c r="F954" t="s">
        <v>54</v>
      </c>
      <c r="G954" t="s">
        <v>39</v>
      </c>
      <c r="H954" t="s">
        <v>158</v>
      </c>
      <c r="I954" t="s">
        <v>163</v>
      </c>
      <c r="J954" t="s">
        <v>264</v>
      </c>
      <c r="K954" s="2">
        <v>34</v>
      </c>
      <c r="L954">
        <v>30</v>
      </c>
      <c r="M954">
        <f t="shared" si="14"/>
        <v>1020</v>
      </c>
    </row>
    <row r="955" spans="1:13">
      <c r="A955" t="s">
        <v>265</v>
      </c>
      <c r="B955" t="s">
        <v>266</v>
      </c>
      <c r="C955" s="1">
        <v>39509</v>
      </c>
      <c r="D955" t="s">
        <v>86</v>
      </c>
      <c r="E955" t="s">
        <v>24</v>
      </c>
      <c r="F955" t="s">
        <v>54</v>
      </c>
      <c r="G955" t="s">
        <v>39</v>
      </c>
      <c r="H955" t="s">
        <v>267</v>
      </c>
      <c r="J955" t="s">
        <v>268</v>
      </c>
      <c r="K955" s="2">
        <v>34</v>
      </c>
      <c r="L955">
        <v>10</v>
      </c>
      <c r="M955">
        <f t="shared" si="14"/>
        <v>340</v>
      </c>
    </row>
    <row r="956" spans="1:13">
      <c r="A956" t="s">
        <v>265</v>
      </c>
      <c r="B956" t="s">
        <v>266</v>
      </c>
      <c r="C956" s="1">
        <v>39674</v>
      </c>
      <c r="D956" t="s">
        <v>44</v>
      </c>
      <c r="E956" t="s">
        <v>24</v>
      </c>
      <c r="F956" t="s">
        <v>45</v>
      </c>
      <c r="G956" t="s">
        <v>17</v>
      </c>
      <c r="H956" t="s">
        <v>267</v>
      </c>
      <c r="J956" t="s">
        <v>268</v>
      </c>
      <c r="K956" s="2">
        <v>14.4</v>
      </c>
      <c r="L956">
        <v>4</v>
      </c>
      <c r="M956">
        <f t="shared" si="14"/>
        <v>57.6</v>
      </c>
    </row>
    <row r="957" spans="1:13">
      <c r="A957" t="s">
        <v>265</v>
      </c>
      <c r="B957" t="s">
        <v>266</v>
      </c>
      <c r="C957" s="1">
        <v>39675</v>
      </c>
      <c r="D957" t="s">
        <v>83</v>
      </c>
      <c r="E957" t="s">
        <v>24</v>
      </c>
      <c r="F957" t="s">
        <v>84</v>
      </c>
      <c r="G957" t="s">
        <v>17</v>
      </c>
      <c r="H957" t="s">
        <v>267</v>
      </c>
      <c r="J957" t="s">
        <v>268</v>
      </c>
      <c r="K957" s="2">
        <v>20.7</v>
      </c>
      <c r="L957">
        <v>6</v>
      </c>
      <c r="M957">
        <f t="shared" si="14"/>
        <v>124.19999999999999</v>
      </c>
    </row>
    <row r="958" spans="1:13">
      <c r="A958" t="s">
        <v>265</v>
      </c>
      <c r="B958" t="s">
        <v>266</v>
      </c>
      <c r="C958" s="1">
        <v>39674</v>
      </c>
      <c r="D958" t="s">
        <v>64</v>
      </c>
      <c r="E958" t="s">
        <v>24</v>
      </c>
      <c r="F958" t="s">
        <v>35</v>
      </c>
      <c r="G958" t="s">
        <v>17</v>
      </c>
      <c r="H958" t="s">
        <v>267</v>
      </c>
      <c r="J958" t="s">
        <v>268</v>
      </c>
      <c r="K958" s="2">
        <v>7.3</v>
      </c>
      <c r="L958">
        <v>1</v>
      </c>
      <c r="M958">
        <f t="shared" si="14"/>
        <v>7.3</v>
      </c>
    </row>
    <row r="959" spans="1:13">
      <c r="A959" t="s">
        <v>265</v>
      </c>
      <c r="B959" t="s">
        <v>266</v>
      </c>
      <c r="C959" s="1">
        <v>39674</v>
      </c>
      <c r="D959" t="s">
        <v>98</v>
      </c>
      <c r="E959" t="s">
        <v>24</v>
      </c>
      <c r="F959" t="s">
        <v>99</v>
      </c>
      <c r="G959" t="s">
        <v>17</v>
      </c>
      <c r="H959" t="s">
        <v>267</v>
      </c>
      <c r="J959" t="s">
        <v>268</v>
      </c>
      <c r="K959" s="2">
        <v>3.6</v>
      </c>
      <c r="L959">
        <v>6</v>
      </c>
      <c r="M959">
        <f t="shared" si="14"/>
        <v>21.6</v>
      </c>
    </row>
    <row r="960" spans="1:13">
      <c r="A960" t="s">
        <v>265</v>
      </c>
      <c r="B960" t="s">
        <v>266</v>
      </c>
      <c r="C960" s="1">
        <v>39509</v>
      </c>
      <c r="D960" t="s">
        <v>83</v>
      </c>
      <c r="E960" t="s">
        <v>24</v>
      </c>
      <c r="F960" t="s">
        <v>84</v>
      </c>
      <c r="G960" t="s">
        <v>39</v>
      </c>
      <c r="H960" t="s">
        <v>267</v>
      </c>
      <c r="J960" t="s">
        <v>268</v>
      </c>
      <c r="K960" s="2">
        <v>25.89</v>
      </c>
      <c r="L960">
        <v>1</v>
      </c>
      <c r="M960">
        <f t="shared" si="14"/>
        <v>25.89</v>
      </c>
    </row>
    <row r="961" spans="1:13">
      <c r="A961" t="s">
        <v>265</v>
      </c>
      <c r="B961" t="s">
        <v>266</v>
      </c>
      <c r="C961" s="1">
        <v>39547</v>
      </c>
      <c r="D961" t="s">
        <v>82</v>
      </c>
      <c r="E961" t="s">
        <v>53</v>
      </c>
      <c r="F961" t="s">
        <v>35</v>
      </c>
      <c r="G961" t="s">
        <v>39</v>
      </c>
      <c r="H961" t="s">
        <v>267</v>
      </c>
      <c r="J961" t="s">
        <v>268</v>
      </c>
      <c r="K961" s="2">
        <v>12.5</v>
      </c>
      <c r="L961">
        <v>2</v>
      </c>
      <c r="M961">
        <f t="shared" si="14"/>
        <v>25</v>
      </c>
    </row>
    <row r="962" spans="1:13">
      <c r="A962" t="s">
        <v>265</v>
      </c>
      <c r="B962" t="s">
        <v>266</v>
      </c>
      <c r="C962" s="1">
        <v>39547</v>
      </c>
      <c r="D962" t="s">
        <v>110</v>
      </c>
      <c r="E962" t="s">
        <v>53</v>
      </c>
      <c r="F962" t="s">
        <v>74</v>
      </c>
      <c r="G962" t="s">
        <v>39</v>
      </c>
      <c r="H962" t="s">
        <v>267</v>
      </c>
      <c r="J962" t="s">
        <v>268</v>
      </c>
      <c r="K962" s="2">
        <v>14</v>
      </c>
      <c r="L962">
        <v>4</v>
      </c>
      <c r="M962">
        <f t="shared" si="14"/>
        <v>56</v>
      </c>
    </row>
    <row r="963" spans="1:13">
      <c r="A963" t="s">
        <v>265</v>
      </c>
      <c r="B963" t="s">
        <v>266</v>
      </c>
      <c r="C963" s="1">
        <v>39675</v>
      </c>
      <c r="D963" t="s">
        <v>123</v>
      </c>
      <c r="E963" t="s">
        <v>24</v>
      </c>
      <c r="F963" t="s">
        <v>63</v>
      </c>
      <c r="G963" t="s">
        <v>17</v>
      </c>
      <c r="H963" t="s">
        <v>267</v>
      </c>
      <c r="J963" t="s">
        <v>268</v>
      </c>
      <c r="K963" s="2">
        <v>15.6</v>
      </c>
      <c r="L963">
        <v>2</v>
      </c>
      <c r="M963">
        <f t="shared" ref="M963:M1026" si="15">K963*L963</f>
        <v>31.2</v>
      </c>
    </row>
    <row r="964" spans="1:13">
      <c r="A964" t="s">
        <v>265</v>
      </c>
      <c r="B964" t="s">
        <v>266</v>
      </c>
      <c r="C964" s="1">
        <v>39547</v>
      </c>
      <c r="D964" t="s">
        <v>130</v>
      </c>
      <c r="E964" t="s">
        <v>53</v>
      </c>
      <c r="F964" t="s">
        <v>118</v>
      </c>
      <c r="G964" t="s">
        <v>39</v>
      </c>
      <c r="H964" t="s">
        <v>267</v>
      </c>
      <c r="J964" t="s">
        <v>268</v>
      </c>
      <c r="K964" s="2">
        <v>9</v>
      </c>
      <c r="L964">
        <v>10</v>
      </c>
      <c r="M964">
        <f t="shared" si="15"/>
        <v>90</v>
      </c>
    </row>
    <row r="965" spans="1:13">
      <c r="A965" t="s">
        <v>265</v>
      </c>
      <c r="B965" t="s">
        <v>266</v>
      </c>
      <c r="C965" s="1">
        <v>39707</v>
      </c>
      <c r="D965" t="s">
        <v>83</v>
      </c>
      <c r="E965" t="s">
        <v>21</v>
      </c>
      <c r="F965" t="s">
        <v>84</v>
      </c>
      <c r="G965" t="s">
        <v>17</v>
      </c>
      <c r="H965" t="s">
        <v>267</v>
      </c>
      <c r="J965" t="s">
        <v>268</v>
      </c>
      <c r="K965" s="2">
        <v>20.7</v>
      </c>
      <c r="L965">
        <v>10</v>
      </c>
      <c r="M965">
        <f t="shared" si="15"/>
        <v>207</v>
      </c>
    </row>
    <row r="966" spans="1:13">
      <c r="A966" t="s">
        <v>265</v>
      </c>
      <c r="B966" t="s">
        <v>266</v>
      </c>
      <c r="C966" s="1">
        <v>39707</v>
      </c>
      <c r="D966" t="s">
        <v>32</v>
      </c>
      <c r="E966" t="s">
        <v>21</v>
      </c>
      <c r="F966" t="s">
        <v>33</v>
      </c>
      <c r="G966" t="s">
        <v>17</v>
      </c>
      <c r="H966" t="s">
        <v>267</v>
      </c>
      <c r="J966" t="s">
        <v>268</v>
      </c>
      <c r="K966" s="2">
        <v>26.2</v>
      </c>
      <c r="L966">
        <v>10</v>
      </c>
      <c r="M966">
        <f t="shared" si="15"/>
        <v>262</v>
      </c>
    </row>
    <row r="967" spans="1:13">
      <c r="A967" t="s">
        <v>265</v>
      </c>
      <c r="B967" t="s">
        <v>266</v>
      </c>
      <c r="C967" s="1">
        <v>39707</v>
      </c>
      <c r="D967" t="s">
        <v>14</v>
      </c>
      <c r="E967" t="s">
        <v>21</v>
      </c>
      <c r="F967" t="s">
        <v>16</v>
      </c>
      <c r="G967" t="s">
        <v>17</v>
      </c>
      <c r="H967" t="s">
        <v>267</v>
      </c>
      <c r="J967" t="s">
        <v>268</v>
      </c>
      <c r="K967" s="2">
        <v>5.9</v>
      </c>
      <c r="L967">
        <v>5</v>
      </c>
      <c r="M967">
        <f t="shared" si="15"/>
        <v>29.5</v>
      </c>
    </row>
    <row r="968" spans="1:13">
      <c r="A968" t="s">
        <v>265</v>
      </c>
      <c r="B968" t="s">
        <v>266</v>
      </c>
      <c r="C968" s="1">
        <v>39547</v>
      </c>
      <c r="D968" t="s">
        <v>60</v>
      </c>
      <c r="E968" t="s">
        <v>53</v>
      </c>
      <c r="F968" t="s">
        <v>61</v>
      </c>
      <c r="G968" t="s">
        <v>39</v>
      </c>
      <c r="H968" t="s">
        <v>267</v>
      </c>
      <c r="J968" t="s">
        <v>268</v>
      </c>
      <c r="K968" s="2">
        <v>9.5</v>
      </c>
      <c r="L968">
        <v>20</v>
      </c>
      <c r="M968">
        <f t="shared" si="15"/>
        <v>190</v>
      </c>
    </row>
    <row r="969" spans="1:13">
      <c r="A969" t="s">
        <v>269</v>
      </c>
      <c r="B969" t="s">
        <v>270</v>
      </c>
      <c r="C969" s="1">
        <v>39989</v>
      </c>
      <c r="D969" t="s">
        <v>71</v>
      </c>
      <c r="E969" t="s">
        <v>21</v>
      </c>
      <c r="F969" t="s">
        <v>51</v>
      </c>
      <c r="G969" t="s">
        <v>17</v>
      </c>
      <c r="H969" t="s">
        <v>176</v>
      </c>
      <c r="I969" t="s">
        <v>271</v>
      </c>
      <c r="J969" t="s">
        <v>272</v>
      </c>
      <c r="K969" s="2">
        <v>7.75</v>
      </c>
      <c r="L969">
        <v>21</v>
      </c>
      <c r="M969">
        <f t="shared" si="15"/>
        <v>162.75</v>
      </c>
    </row>
    <row r="970" spans="1:13">
      <c r="A970" t="s">
        <v>269</v>
      </c>
      <c r="B970" t="s">
        <v>270</v>
      </c>
      <c r="C970" s="1">
        <v>39487</v>
      </c>
      <c r="D970" t="s">
        <v>95</v>
      </c>
      <c r="E970" t="s">
        <v>24</v>
      </c>
      <c r="F970" t="s">
        <v>27</v>
      </c>
      <c r="G970" t="s">
        <v>39</v>
      </c>
      <c r="H970" t="s">
        <v>176</v>
      </c>
      <c r="I970" t="s">
        <v>271</v>
      </c>
      <c r="J970" t="s">
        <v>272</v>
      </c>
      <c r="K970" s="2">
        <v>21.05</v>
      </c>
      <c r="L970">
        <v>12</v>
      </c>
      <c r="M970">
        <f t="shared" si="15"/>
        <v>252.60000000000002</v>
      </c>
    </row>
    <row r="971" spans="1:13">
      <c r="A971" t="s">
        <v>269</v>
      </c>
      <c r="B971" t="s">
        <v>270</v>
      </c>
      <c r="C971" s="1">
        <v>39487</v>
      </c>
      <c r="D971" t="s">
        <v>62</v>
      </c>
      <c r="E971" t="s">
        <v>24</v>
      </c>
      <c r="F971" t="s">
        <v>63</v>
      </c>
      <c r="G971" t="s">
        <v>39</v>
      </c>
      <c r="H971" t="s">
        <v>176</v>
      </c>
      <c r="I971" t="s">
        <v>271</v>
      </c>
      <c r="J971" t="s">
        <v>272</v>
      </c>
      <c r="K971" s="2">
        <v>38</v>
      </c>
      <c r="L971">
        <v>21</v>
      </c>
      <c r="M971">
        <f t="shared" si="15"/>
        <v>798</v>
      </c>
    </row>
    <row r="972" spans="1:13">
      <c r="A972" t="s">
        <v>269</v>
      </c>
      <c r="B972" t="s">
        <v>270</v>
      </c>
      <c r="C972" s="1">
        <v>39487</v>
      </c>
      <c r="D972" t="s">
        <v>34</v>
      </c>
      <c r="E972" t="s">
        <v>24</v>
      </c>
      <c r="F972" t="s">
        <v>35</v>
      </c>
      <c r="G972" t="s">
        <v>39</v>
      </c>
      <c r="H972" t="s">
        <v>176</v>
      </c>
      <c r="I972" t="s">
        <v>271</v>
      </c>
      <c r="J972" t="s">
        <v>272</v>
      </c>
      <c r="K972" s="2">
        <v>10</v>
      </c>
      <c r="L972">
        <v>40</v>
      </c>
      <c r="M972">
        <f t="shared" si="15"/>
        <v>400</v>
      </c>
    </row>
    <row r="973" spans="1:13">
      <c r="A973" t="s">
        <v>269</v>
      </c>
      <c r="B973" t="s">
        <v>270</v>
      </c>
      <c r="C973" s="1">
        <v>40096</v>
      </c>
      <c r="D973" t="s">
        <v>28</v>
      </c>
      <c r="E973" t="s">
        <v>89</v>
      </c>
      <c r="F973" t="s">
        <v>29</v>
      </c>
      <c r="G973" t="s">
        <v>17</v>
      </c>
      <c r="H973" t="s">
        <v>176</v>
      </c>
      <c r="I973" t="s">
        <v>271</v>
      </c>
      <c r="J973" t="s">
        <v>272</v>
      </c>
      <c r="K973" s="2">
        <v>28.5</v>
      </c>
      <c r="L973">
        <v>20</v>
      </c>
      <c r="M973">
        <f t="shared" si="15"/>
        <v>570</v>
      </c>
    </row>
    <row r="974" spans="1:13">
      <c r="A974" t="s">
        <v>269</v>
      </c>
      <c r="B974" t="s">
        <v>270</v>
      </c>
      <c r="C974" s="1">
        <v>39989</v>
      </c>
      <c r="D974" t="s">
        <v>180</v>
      </c>
      <c r="E974" t="s">
        <v>21</v>
      </c>
      <c r="F974" t="s">
        <v>125</v>
      </c>
      <c r="G974" t="s">
        <v>17</v>
      </c>
      <c r="H974" t="s">
        <v>176</v>
      </c>
      <c r="I974" t="s">
        <v>271</v>
      </c>
      <c r="J974" t="s">
        <v>272</v>
      </c>
      <c r="K974" s="2">
        <v>15.5</v>
      </c>
      <c r="L974">
        <v>10</v>
      </c>
      <c r="M974">
        <f t="shared" si="15"/>
        <v>155</v>
      </c>
    </row>
    <row r="975" spans="1:13">
      <c r="A975" t="s">
        <v>269</v>
      </c>
      <c r="B975" t="s">
        <v>270</v>
      </c>
      <c r="C975" s="1">
        <v>40113</v>
      </c>
      <c r="D975" t="s">
        <v>14</v>
      </c>
      <c r="E975" t="s">
        <v>67</v>
      </c>
      <c r="F975" t="s">
        <v>16</v>
      </c>
      <c r="G975" t="s">
        <v>17</v>
      </c>
      <c r="H975" t="s">
        <v>176</v>
      </c>
      <c r="I975" t="s">
        <v>271</v>
      </c>
      <c r="J975" t="s">
        <v>272</v>
      </c>
      <c r="K975" s="2">
        <v>7.45</v>
      </c>
      <c r="L975">
        <v>40</v>
      </c>
      <c r="M975">
        <f t="shared" si="15"/>
        <v>298</v>
      </c>
    </row>
    <row r="976" spans="1:13">
      <c r="A976" t="s">
        <v>269</v>
      </c>
      <c r="B976" t="s">
        <v>270</v>
      </c>
      <c r="C976" s="1">
        <v>40113</v>
      </c>
      <c r="D976" t="s">
        <v>83</v>
      </c>
      <c r="E976" t="s">
        <v>67</v>
      </c>
      <c r="F976" t="s">
        <v>84</v>
      </c>
      <c r="G976" t="s">
        <v>17</v>
      </c>
      <c r="H976" t="s">
        <v>176</v>
      </c>
      <c r="I976" t="s">
        <v>271</v>
      </c>
      <c r="J976" t="s">
        <v>272</v>
      </c>
      <c r="K976" s="2">
        <v>25.89</v>
      </c>
      <c r="L976">
        <v>3</v>
      </c>
      <c r="M976">
        <f t="shared" si="15"/>
        <v>77.67</v>
      </c>
    </row>
    <row r="977" spans="1:13">
      <c r="A977" t="s">
        <v>269</v>
      </c>
      <c r="B977" t="s">
        <v>270</v>
      </c>
      <c r="C977" s="1">
        <v>40113</v>
      </c>
      <c r="D977" t="s">
        <v>42</v>
      </c>
      <c r="E977" t="s">
        <v>67</v>
      </c>
      <c r="F977" t="s">
        <v>22</v>
      </c>
      <c r="G977" t="s">
        <v>17</v>
      </c>
      <c r="H977" t="s">
        <v>176</v>
      </c>
      <c r="I977" t="s">
        <v>271</v>
      </c>
      <c r="J977" t="s">
        <v>272</v>
      </c>
      <c r="K977" s="2">
        <v>62.5</v>
      </c>
      <c r="L977">
        <v>12</v>
      </c>
      <c r="M977">
        <f t="shared" si="15"/>
        <v>750</v>
      </c>
    </row>
    <row r="978" spans="1:13">
      <c r="A978" t="s">
        <v>269</v>
      </c>
      <c r="B978" t="s">
        <v>270</v>
      </c>
      <c r="C978" s="1">
        <v>40096</v>
      </c>
      <c r="D978" t="s">
        <v>49</v>
      </c>
      <c r="E978" t="s">
        <v>89</v>
      </c>
      <c r="F978" t="s">
        <v>51</v>
      </c>
      <c r="G978" t="s">
        <v>17</v>
      </c>
      <c r="H978" t="s">
        <v>176</v>
      </c>
      <c r="I978" t="s">
        <v>271</v>
      </c>
      <c r="J978" t="s">
        <v>272</v>
      </c>
      <c r="K978" s="2">
        <v>13</v>
      </c>
      <c r="L978">
        <v>2</v>
      </c>
      <c r="M978">
        <f t="shared" si="15"/>
        <v>26</v>
      </c>
    </row>
    <row r="979" spans="1:13">
      <c r="A979" t="s">
        <v>273</v>
      </c>
      <c r="B979" t="s">
        <v>274</v>
      </c>
      <c r="C979" s="1">
        <v>39475</v>
      </c>
      <c r="D979" t="s">
        <v>36</v>
      </c>
      <c r="E979" t="s">
        <v>15</v>
      </c>
      <c r="F979" t="s">
        <v>37</v>
      </c>
      <c r="G979" t="s">
        <v>39</v>
      </c>
      <c r="H979" t="s">
        <v>211</v>
      </c>
      <c r="J979" t="s">
        <v>212</v>
      </c>
      <c r="K979" s="2">
        <v>19</v>
      </c>
      <c r="L979">
        <v>20</v>
      </c>
      <c r="M979">
        <f t="shared" si="15"/>
        <v>380</v>
      </c>
    </row>
    <row r="980" spans="1:13">
      <c r="A980" t="s">
        <v>273</v>
      </c>
      <c r="B980" t="s">
        <v>274</v>
      </c>
      <c r="C980" s="1">
        <v>39946</v>
      </c>
      <c r="D980" t="s">
        <v>185</v>
      </c>
      <c r="E980" t="s">
        <v>24</v>
      </c>
      <c r="F980" t="s">
        <v>134</v>
      </c>
      <c r="G980" t="s">
        <v>17</v>
      </c>
      <c r="H980" t="s">
        <v>211</v>
      </c>
      <c r="J980" t="s">
        <v>212</v>
      </c>
      <c r="K980" s="2">
        <v>18.399999999999999</v>
      </c>
      <c r="L980">
        <v>10</v>
      </c>
      <c r="M980">
        <f t="shared" si="15"/>
        <v>184</v>
      </c>
    </row>
    <row r="981" spans="1:13">
      <c r="A981" t="s">
        <v>273</v>
      </c>
      <c r="B981" t="s">
        <v>274</v>
      </c>
      <c r="C981" s="1">
        <v>39946</v>
      </c>
      <c r="D981" t="s">
        <v>131</v>
      </c>
      <c r="E981" t="s">
        <v>24</v>
      </c>
      <c r="F981" t="s">
        <v>132</v>
      </c>
      <c r="G981" t="s">
        <v>17</v>
      </c>
      <c r="H981" t="s">
        <v>211</v>
      </c>
      <c r="J981" t="s">
        <v>212</v>
      </c>
      <c r="K981" s="2">
        <v>21</v>
      </c>
      <c r="L981">
        <v>50</v>
      </c>
      <c r="M981">
        <f t="shared" si="15"/>
        <v>1050</v>
      </c>
    </row>
    <row r="982" spans="1:13">
      <c r="A982" t="s">
        <v>273</v>
      </c>
      <c r="B982" t="s">
        <v>274</v>
      </c>
      <c r="C982" s="1">
        <v>39946</v>
      </c>
      <c r="D982" t="s">
        <v>123</v>
      </c>
      <c r="E982" t="s">
        <v>24</v>
      </c>
      <c r="F982" t="s">
        <v>63</v>
      </c>
      <c r="G982" t="s">
        <v>17</v>
      </c>
      <c r="H982" t="s">
        <v>211</v>
      </c>
      <c r="J982" t="s">
        <v>212</v>
      </c>
      <c r="K982" s="2">
        <v>19.5</v>
      </c>
      <c r="L982">
        <v>5</v>
      </c>
      <c r="M982">
        <f t="shared" si="15"/>
        <v>97.5</v>
      </c>
    </row>
    <row r="983" spans="1:13">
      <c r="A983" t="s">
        <v>273</v>
      </c>
      <c r="B983" t="s">
        <v>274</v>
      </c>
      <c r="C983" s="1">
        <v>39946</v>
      </c>
      <c r="D983" t="s">
        <v>52</v>
      </c>
      <c r="E983" t="s">
        <v>24</v>
      </c>
      <c r="F983" t="s">
        <v>54</v>
      </c>
      <c r="G983" t="s">
        <v>17</v>
      </c>
      <c r="H983" t="s">
        <v>211</v>
      </c>
      <c r="J983" t="s">
        <v>212</v>
      </c>
      <c r="K983" s="2">
        <v>55</v>
      </c>
      <c r="L983">
        <v>15</v>
      </c>
      <c r="M983">
        <f t="shared" si="15"/>
        <v>825</v>
      </c>
    </row>
    <row r="984" spans="1:13">
      <c r="A984" t="s">
        <v>273</v>
      </c>
      <c r="B984" t="s">
        <v>274</v>
      </c>
      <c r="C984" s="1">
        <v>40078</v>
      </c>
      <c r="D984" t="s">
        <v>30</v>
      </c>
      <c r="E984" t="s">
        <v>21</v>
      </c>
      <c r="F984" t="s">
        <v>31</v>
      </c>
      <c r="G984" t="s">
        <v>17</v>
      </c>
      <c r="H984" t="s">
        <v>211</v>
      </c>
      <c r="J984" t="s">
        <v>212</v>
      </c>
      <c r="K984" s="2">
        <v>31.23</v>
      </c>
      <c r="L984">
        <v>30</v>
      </c>
      <c r="M984">
        <f t="shared" si="15"/>
        <v>936.9</v>
      </c>
    </row>
    <row r="985" spans="1:13">
      <c r="A985" t="s">
        <v>273</v>
      </c>
      <c r="B985" t="s">
        <v>274</v>
      </c>
      <c r="C985" s="1">
        <v>39748</v>
      </c>
      <c r="D985" t="s">
        <v>131</v>
      </c>
      <c r="E985" t="s">
        <v>15</v>
      </c>
      <c r="F985" t="s">
        <v>132</v>
      </c>
      <c r="G985" t="s">
        <v>17</v>
      </c>
      <c r="H985" t="s">
        <v>211</v>
      </c>
      <c r="J985" t="s">
        <v>212</v>
      </c>
      <c r="K985" s="2">
        <v>16.8</v>
      </c>
      <c r="L985">
        <v>24</v>
      </c>
      <c r="M985">
        <f t="shared" si="15"/>
        <v>403.20000000000005</v>
      </c>
    </row>
    <row r="986" spans="1:13">
      <c r="A986" t="s">
        <v>273</v>
      </c>
      <c r="B986" t="s">
        <v>274</v>
      </c>
      <c r="C986" s="1">
        <v>40078</v>
      </c>
      <c r="D986" t="s">
        <v>40</v>
      </c>
      <c r="E986" t="s">
        <v>21</v>
      </c>
      <c r="F986" t="s">
        <v>41</v>
      </c>
      <c r="G986" t="s">
        <v>17</v>
      </c>
      <c r="H986" t="s">
        <v>211</v>
      </c>
      <c r="J986" t="s">
        <v>212</v>
      </c>
      <c r="K986" s="2">
        <v>2.5</v>
      </c>
      <c r="L986">
        <v>8</v>
      </c>
      <c r="M986">
        <f t="shared" si="15"/>
        <v>20</v>
      </c>
    </row>
    <row r="987" spans="1:13">
      <c r="A987" t="s">
        <v>273</v>
      </c>
      <c r="B987" t="s">
        <v>274</v>
      </c>
      <c r="C987" s="1">
        <v>39475</v>
      </c>
      <c r="D987" t="s">
        <v>110</v>
      </c>
      <c r="E987" t="s">
        <v>15</v>
      </c>
      <c r="F987" t="s">
        <v>74</v>
      </c>
      <c r="G987" t="s">
        <v>39</v>
      </c>
      <c r="H987" t="s">
        <v>211</v>
      </c>
      <c r="J987" t="s">
        <v>212</v>
      </c>
      <c r="K987" s="2">
        <v>14</v>
      </c>
      <c r="L987">
        <v>20</v>
      </c>
      <c r="M987">
        <f t="shared" si="15"/>
        <v>280</v>
      </c>
    </row>
    <row r="988" spans="1:13">
      <c r="A988" t="s">
        <v>273</v>
      </c>
      <c r="B988" t="s">
        <v>274</v>
      </c>
      <c r="C988" s="1">
        <v>40081</v>
      </c>
      <c r="D988" t="s">
        <v>152</v>
      </c>
      <c r="E988" t="s">
        <v>15</v>
      </c>
      <c r="F988" t="s">
        <v>27</v>
      </c>
      <c r="G988" t="s">
        <v>17</v>
      </c>
      <c r="H988" t="s">
        <v>211</v>
      </c>
      <c r="J988" t="s">
        <v>212</v>
      </c>
      <c r="K988" s="2">
        <v>17</v>
      </c>
      <c r="L988">
        <v>4</v>
      </c>
      <c r="M988">
        <f t="shared" si="15"/>
        <v>68</v>
      </c>
    </row>
    <row r="989" spans="1:13">
      <c r="A989" t="s">
        <v>273</v>
      </c>
      <c r="B989" t="s">
        <v>274</v>
      </c>
      <c r="C989" s="1">
        <v>40081</v>
      </c>
      <c r="D989" t="s">
        <v>40</v>
      </c>
      <c r="E989" t="s">
        <v>15</v>
      </c>
      <c r="F989" t="s">
        <v>41</v>
      </c>
      <c r="G989" t="s">
        <v>17</v>
      </c>
      <c r="H989" t="s">
        <v>211</v>
      </c>
      <c r="J989" t="s">
        <v>212</v>
      </c>
      <c r="K989" s="2">
        <v>2.5</v>
      </c>
      <c r="L989">
        <v>30</v>
      </c>
      <c r="M989">
        <f t="shared" si="15"/>
        <v>75</v>
      </c>
    </row>
    <row r="990" spans="1:13">
      <c r="A990" t="s">
        <v>273</v>
      </c>
      <c r="B990" t="s">
        <v>274</v>
      </c>
      <c r="C990" s="1">
        <v>40081</v>
      </c>
      <c r="D990" t="s">
        <v>71</v>
      </c>
      <c r="E990" t="s">
        <v>15</v>
      </c>
      <c r="F990" t="s">
        <v>51</v>
      </c>
      <c r="G990" t="s">
        <v>17</v>
      </c>
      <c r="H990" t="s">
        <v>211</v>
      </c>
      <c r="J990" t="s">
        <v>212</v>
      </c>
      <c r="K990" s="2">
        <v>7.75</v>
      </c>
      <c r="L990">
        <v>30</v>
      </c>
      <c r="M990">
        <f t="shared" si="15"/>
        <v>232.5</v>
      </c>
    </row>
    <row r="991" spans="1:13">
      <c r="A991" t="s">
        <v>273</v>
      </c>
      <c r="B991" t="s">
        <v>274</v>
      </c>
      <c r="C991" s="1">
        <v>39918</v>
      </c>
      <c r="D991" t="s">
        <v>94</v>
      </c>
      <c r="E991" t="s">
        <v>50</v>
      </c>
      <c r="F991" t="s">
        <v>74</v>
      </c>
      <c r="G991" t="s">
        <v>17</v>
      </c>
      <c r="H991" t="s">
        <v>211</v>
      </c>
      <c r="J991" t="s">
        <v>212</v>
      </c>
      <c r="K991" s="2">
        <v>46</v>
      </c>
      <c r="L991">
        <v>15</v>
      </c>
      <c r="M991">
        <f t="shared" si="15"/>
        <v>690</v>
      </c>
    </row>
    <row r="992" spans="1:13">
      <c r="A992" t="s">
        <v>273</v>
      </c>
      <c r="B992" t="s">
        <v>274</v>
      </c>
      <c r="C992" s="1">
        <v>39983</v>
      </c>
      <c r="D992" t="s">
        <v>48</v>
      </c>
      <c r="E992" t="s">
        <v>50</v>
      </c>
      <c r="F992" t="s">
        <v>22</v>
      </c>
      <c r="G992" t="s">
        <v>17</v>
      </c>
      <c r="H992" t="s">
        <v>211</v>
      </c>
      <c r="J992" t="s">
        <v>212</v>
      </c>
      <c r="K992" s="2">
        <v>39</v>
      </c>
      <c r="L992">
        <v>18</v>
      </c>
      <c r="M992">
        <f t="shared" si="15"/>
        <v>702</v>
      </c>
    </row>
    <row r="993" spans="1:13">
      <c r="A993" t="s">
        <v>273</v>
      </c>
      <c r="B993" t="s">
        <v>274</v>
      </c>
      <c r="C993" s="1">
        <v>39983</v>
      </c>
      <c r="D993" t="s">
        <v>59</v>
      </c>
      <c r="E993" t="s">
        <v>50</v>
      </c>
      <c r="F993" t="s">
        <v>45</v>
      </c>
      <c r="G993" t="s">
        <v>17</v>
      </c>
      <c r="H993" t="s">
        <v>211</v>
      </c>
      <c r="J993" t="s">
        <v>212</v>
      </c>
      <c r="K993" s="2">
        <v>14</v>
      </c>
      <c r="L993">
        <v>40</v>
      </c>
      <c r="M993">
        <f t="shared" si="15"/>
        <v>560</v>
      </c>
    </row>
    <row r="994" spans="1:13">
      <c r="A994" t="s">
        <v>273</v>
      </c>
      <c r="B994" t="s">
        <v>274</v>
      </c>
      <c r="C994" s="1">
        <v>39983</v>
      </c>
      <c r="D994" t="s">
        <v>32</v>
      </c>
      <c r="E994" t="s">
        <v>50</v>
      </c>
      <c r="F994" t="s">
        <v>33</v>
      </c>
      <c r="G994" t="s">
        <v>17</v>
      </c>
      <c r="H994" t="s">
        <v>211</v>
      </c>
      <c r="J994" t="s">
        <v>212</v>
      </c>
      <c r="K994" s="2">
        <v>32.799999999999997</v>
      </c>
      <c r="L994">
        <v>25</v>
      </c>
      <c r="M994">
        <f t="shared" si="15"/>
        <v>819.99999999999989</v>
      </c>
    </row>
    <row r="995" spans="1:13">
      <c r="A995" t="s">
        <v>273</v>
      </c>
      <c r="B995" t="s">
        <v>274</v>
      </c>
      <c r="C995" s="1">
        <v>39918</v>
      </c>
      <c r="D995" t="s">
        <v>100</v>
      </c>
      <c r="E995" t="s">
        <v>50</v>
      </c>
      <c r="F995" t="s">
        <v>101</v>
      </c>
      <c r="G995" t="s">
        <v>17</v>
      </c>
      <c r="H995" t="s">
        <v>211</v>
      </c>
      <c r="J995" t="s">
        <v>212</v>
      </c>
      <c r="K995" s="2">
        <v>12.75</v>
      </c>
      <c r="L995">
        <v>15</v>
      </c>
      <c r="M995">
        <f t="shared" si="15"/>
        <v>191.25</v>
      </c>
    </row>
    <row r="996" spans="1:13">
      <c r="A996" t="s">
        <v>275</v>
      </c>
      <c r="B996" t="s">
        <v>276</v>
      </c>
      <c r="C996" s="1">
        <v>40001</v>
      </c>
      <c r="D996" t="s">
        <v>111</v>
      </c>
      <c r="E996" t="s">
        <v>24</v>
      </c>
      <c r="F996" t="s">
        <v>37</v>
      </c>
      <c r="G996" t="s">
        <v>17</v>
      </c>
      <c r="H996" t="s">
        <v>141</v>
      </c>
      <c r="J996" t="s">
        <v>277</v>
      </c>
      <c r="K996" s="2">
        <v>18</v>
      </c>
      <c r="L996">
        <v>20</v>
      </c>
      <c r="M996">
        <f t="shared" si="15"/>
        <v>360</v>
      </c>
    </row>
    <row r="997" spans="1:13">
      <c r="A997" t="s">
        <v>275</v>
      </c>
      <c r="B997" t="s">
        <v>276</v>
      </c>
      <c r="C997" s="1">
        <v>39836</v>
      </c>
      <c r="D997" t="s">
        <v>55</v>
      </c>
      <c r="E997" t="s">
        <v>50</v>
      </c>
      <c r="F997" t="s">
        <v>56</v>
      </c>
      <c r="G997" t="s">
        <v>17</v>
      </c>
      <c r="H997" t="s">
        <v>141</v>
      </c>
      <c r="J997" t="s">
        <v>277</v>
      </c>
      <c r="K997" s="2">
        <v>210.8</v>
      </c>
      <c r="L997">
        <v>49</v>
      </c>
      <c r="M997">
        <f t="shared" si="15"/>
        <v>10329.200000000001</v>
      </c>
    </row>
    <row r="998" spans="1:13">
      <c r="A998" t="s">
        <v>275</v>
      </c>
      <c r="B998" t="s">
        <v>276</v>
      </c>
      <c r="C998" s="1">
        <v>39836</v>
      </c>
      <c r="D998" t="s">
        <v>44</v>
      </c>
      <c r="E998" t="s">
        <v>50</v>
      </c>
      <c r="F998" t="s">
        <v>45</v>
      </c>
      <c r="G998" t="s">
        <v>17</v>
      </c>
      <c r="H998" t="s">
        <v>141</v>
      </c>
      <c r="J998" t="s">
        <v>277</v>
      </c>
      <c r="K998" s="2">
        <v>14.4</v>
      </c>
      <c r="L998">
        <v>60</v>
      </c>
      <c r="M998">
        <f t="shared" si="15"/>
        <v>864</v>
      </c>
    </row>
    <row r="999" spans="1:13">
      <c r="A999" t="s">
        <v>275</v>
      </c>
      <c r="B999" t="s">
        <v>276</v>
      </c>
      <c r="C999" s="1">
        <v>39974</v>
      </c>
      <c r="D999" t="s">
        <v>98</v>
      </c>
      <c r="E999" t="s">
        <v>67</v>
      </c>
      <c r="F999" t="s">
        <v>99</v>
      </c>
      <c r="G999" t="s">
        <v>17</v>
      </c>
      <c r="H999" t="s">
        <v>141</v>
      </c>
      <c r="J999" t="s">
        <v>277</v>
      </c>
      <c r="K999" s="2">
        <v>4.5</v>
      </c>
      <c r="L999">
        <v>25</v>
      </c>
      <c r="M999">
        <f t="shared" si="15"/>
        <v>112.5</v>
      </c>
    </row>
    <row r="1000" spans="1:13">
      <c r="A1000" t="s">
        <v>275</v>
      </c>
      <c r="B1000" t="s">
        <v>276</v>
      </c>
      <c r="C1000" s="1">
        <v>39836</v>
      </c>
      <c r="D1000" t="s">
        <v>82</v>
      </c>
      <c r="E1000" t="s">
        <v>50</v>
      </c>
      <c r="F1000" t="s">
        <v>35</v>
      </c>
      <c r="G1000" t="s">
        <v>17</v>
      </c>
      <c r="H1000" t="s">
        <v>141</v>
      </c>
      <c r="J1000" t="s">
        <v>277</v>
      </c>
      <c r="K1000" s="2">
        <v>10</v>
      </c>
      <c r="L1000">
        <v>30</v>
      </c>
      <c r="M1000">
        <f t="shared" si="15"/>
        <v>300</v>
      </c>
    </row>
    <row r="1001" spans="1:13">
      <c r="A1001" t="s">
        <v>275</v>
      </c>
      <c r="B1001" t="s">
        <v>276</v>
      </c>
      <c r="C1001" s="1">
        <v>40015</v>
      </c>
      <c r="D1001" t="s">
        <v>121</v>
      </c>
      <c r="E1001" t="s">
        <v>21</v>
      </c>
      <c r="F1001" t="s">
        <v>41</v>
      </c>
      <c r="G1001" t="s">
        <v>17</v>
      </c>
      <c r="H1001" t="s">
        <v>141</v>
      </c>
      <c r="J1001" t="s">
        <v>277</v>
      </c>
      <c r="K1001" s="2">
        <v>21.5</v>
      </c>
      <c r="L1001">
        <v>15</v>
      </c>
      <c r="M1001">
        <f t="shared" si="15"/>
        <v>322.5</v>
      </c>
    </row>
    <row r="1002" spans="1:13">
      <c r="A1002" t="s">
        <v>275</v>
      </c>
      <c r="B1002" t="s">
        <v>276</v>
      </c>
      <c r="C1002" s="1">
        <v>39749</v>
      </c>
      <c r="D1002" t="s">
        <v>38</v>
      </c>
      <c r="E1002" t="s">
        <v>53</v>
      </c>
      <c r="F1002" t="s">
        <v>29</v>
      </c>
      <c r="G1002" t="s">
        <v>17</v>
      </c>
      <c r="H1002" t="s">
        <v>141</v>
      </c>
      <c r="J1002" t="s">
        <v>277</v>
      </c>
      <c r="K1002" s="2">
        <v>39.4</v>
      </c>
      <c r="L1002">
        <v>28</v>
      </c>
      <c r="M1002">
        <f t="shared" si="15"/>
        <v>1103.2</v>
      </c>
    </row>
    <row r="1003" spans="1:13">
      <c r="A1003" t="s">
        <v>275</v>
      </c>
      <c r="B1003" t="s">
        <v>276</v>
      </c>
      <c r="C1003" s="1">
        <v>40015</v>
      </c>
      <c r="D1003" t="s">
        <v>52</v>
      </c>
      <c r="E1003" t="s">
        <v>21</v>
      </c>
      <c r="F1003" t="s">
        <v>54</v>
      </c>
      <c r="G1003" t="s">
        <v>17</v>
      </c>
      <c r="H1003" t="s">
        <v>141</v>
      </c>
      <c r="J1003" t="s">
        <v>277</v>
      </c>
      <c r="K1003" s="2">
        <v>55</v>
      </c>
      <c r="L1003">
        <v>20</v>
      </c>
      <c r="M1003">
        <f t="shared" si="15"/>
        <v>1100</v>
      </c>
    </row>
    <row r="1004" spans="1:13">
      <c r="A1004" t="s">
        <v>275</v>
      </c>
      <c r="B1004" t="s">
        <v>276</v>
      </c>
      <c r="C1004" s="1">
        <v>40001</v>
      </c>
      <c r="D1004" t="s">
        <v>49</v>
      </c>
      <c r="E1004" t="s">
        <v>24</v>
      </c>
      <c r="F1004" t="s">
        <v>51</v>
      </c>
      <c r="G1004" t="s">
        <v>17</v>
      </c>
      <c r="H1004" t="s">
        <v>141</v>
      </c>
      <c r="J1004" t="s">
        <v>277</v>
      </c>
      <c r="K1004" s="2">
        <v>13</v>
      </c>
      <c r="L1004">
        <v>60</v>
      </c>
      <c r="M1004">
        <f t="shared" si="15"/>
        <v>780</v>
      </c>
    </row>
    <row r="1005" spans="1:13">
      <c r="A1005" t="s">
        <v>275</v>
      </c>
      <c r="B1005" t="s">
        <v>276</v>
      </c>
      <c r="C1005" s="1">
        <v>39974</v>
      </c>
      <c r="D1005" t="s">
        <v>147</v>
      </c>
      <c r="E1005" t="s">
        <v>67</v>
      </c>
      <c r="F1005" t="s">
        <v>51</v>
      </c>
      <c r="G1005" t="s">
        <v>17</v>
      </c>
      <c r="H1005" t="s">
        <v>141</v>
      </c>
      <c r="J1005" t="s">
        <v>277</v>
      </c>
      <c r="K1005" s="2">
        <v>33.25</v>
      </c>
      <c r="L1005">
        <v>18</v>
      </c>
      <c r="M1005">
        <f t="shared" si="15"/>
        <v>598.5</v>
      </c>
    </row>
    <row r="1006" spans="1:13">
      <c r="A1006" t="s">
        <v>275</v>
      </c>
      <c r="B1006" t="s">
        <v>276</v>
      </c>
      <c r="C1006" s="1">
        <v>39749</v>
      </c>
      <c r="D1006" t="s">
        <v>26</v>
      </c>
      <c r="E1006" t="s">
        <v>53</v>
      </c>
      <c r="F1006" t="s">
        <v>27</v>
      </c>
      <c r="G1006" t="s">
        <v>17</v>
      </c>
      <c r="H1006" t="s">
        <v>141</v>
      </c>
      <c r="J1006" t="s">
        <v>277</v>
      </c>
      <c r="K1006" s="2">
        <v>17.600000000000001</v>
      </c>
      <c r="L1006">
        <v>10</v>
      </c>
      <c r="M1006">
        <f t="shared" si="15"/>
        <v>176</v>
      </c>
    </row>
    <row r="1007" spans="1:13">
      <c r="A1007" t="s">
        <v>275</v>
      </c>
      <c r="B1007" t="s">
        <v>276</v>
      </c>
      <c r="C1007" s="1">
        <v>39749</v>
      </c>
      <c r="D1007" t="s">
        <v>48</v>
      </c>
      <c r="E1007" t="s">
        <v>53</v>
      </c>
      <c r="F1007" t="s">
        <v>22</v>
      </c>
      <c r="G1007" t="s">
        <v>17</v>
      </c>
      <c r="H1007" t="s">
        <v>141</v>
      </c>
      <c r="J1007" t="s">
        <v>277</v>
      </c>
      <c r="K1007" s="2">
        <v>31.2</v>
      </c>
      <c r="L1007">
        <v>70</v>
      </c>
      <c r="M1007">
        <f t="shared" si="15"/>
        <v>2184</v>
      </c>
    </row>
    <row r="1008" spans="1:13">
      <c r="A1008" t="s">
        <v>275</v>
      </c>
      <c r="B1008" t="s">
        <v>276</v>
      </c>
      <c r="C1008" s="1">
        <v>39851</v>
      </c>
      <c r="D1008" t="s">
        <v>179</v>
      </c>
      <c r="E1008" t="s">
        <v>89</v>
      </c>
      <c r="F1008" t="s">
        <v>47</v>
      </c>
      <c r="G1008" t="s">
        <v>17</v>
      </c>
      <c r="H1008" t="s">
        <v>141</v>
      </c>
      <c r="J1008" t="s">
        <v>277</v>
      </c>
      <c r="K1008" s="2">
        <v>8</v>
      </c>
      <c r="L1008">
        <v>30</v>
      </c>
      <c r="M1008">
        <f t="shared" si="15"/>
        <v>240</v>
      </c>
    </row>
    <row r="1009" spans="1:13">
      <c r="A1009" t="s">
        <v>275</v>
      </c>
      <c r="B1009" t="s">
        <v>276</v>
      </c>
      <c r="C1009" s="1">
        <v>40015</v>
      </c>
      <c r="D1009" t="s">
        <v>20</v>
      </c>
      <c r="E1009" t="s">
        <v>21</v>
      </c>
      <c r="F1009" t="s">
        <v>22</v>
      </c>
      <c r="G1009" t="s">
        <v>17</v>
      </c>
      <c r="H1009" t="s">
        <v>141</v>
      </c>
      <c r="J1009" t="s">
        <v>277</v>
      </c>
      <c r="K1009" s="2">
        <v>17.45</v>
      </c>
      <c r="L1009">
        <v>30</v>
      </c>
      <c r="M1009">
        <f t="shared" si="15"/>
        <v>523.5</v>
      </c>
    </row>
    <row r="1010" spans="1:13">
      <c r="A1010" t="s">
        <v>275</v>
      </c>
      <c r="B1010" t="s">
        <v>276</v>
      </c>
      <c r="C1010" s="1">
        <v>40015</v>
      </c>
      <c r="D1010" t="s">
        <v>86</v>
      </c>
      <c r="E1010" t="s">
        <v>21</v>
      </c>
      <c r="F1010" t="s">
        <v>54</v>
      </c>
      <c r="G1010" t="s">
        <v>17</v>
      </c>
      <c r="H1010" t="s">
        <v>141</v>
      </c>
      <c r="J1010" t="s">
        <v>277</v>
      </c>
      <c r="K1010" s="2">
        <v>34</v>
      </c>
      <c r="L1010">
        <v>70</v>
      </c>
      <c r="M1010">
        <f t="shared" si="15"/>
        <v>2380</v>
      </c>
    </row>
    <row r="1011" spans="1:13">
      <c r="A1011" t="s">
        <v>275</v>
      </c>
      <c r="B1011" t="s">
        <v>276</v>
      </c>
      <c r="C1011" s="1">
        <v>40026</v>
      </c>
      <c r="D1011" t="s">
        <v>62</v>
      </c>
      <c r="E1011" t="s">
        <v>21</v>
      </c>
      <c r="F1011" t="s">
        <v>63</v>
      </c>
      <c r="G1011" t="s">
        <v>17</v>
      </c>
      <c r="H1011" t="s">
        <v>141</v>
      </c>
      <c r="J1011" t="s">
        <v>277</v>
      </c>
      <c r="K1011" s="2">
        <v>38</v>
      </c>
      <c r="L1011">
        <v>20</v>
      </c>
      <c r="M1011">
        <f t="shared" si="15"/>
        <v>760</v>
      </c>
    </row>
    <row r="1012" spans="1:13">
      <c r="A1012" t="s">
        <v>275</v>
      </c>
      <c r="B1012" t="s">
        <v>276</v>
      </c>
      <c r="C1012" s="1">
        <v>40116</v>
      </c>
      <c r="D1012" t="s">
        <v>102</v>
      </c>
      <c r="E1012" t="s">
        <v>67</v>
      </c>
      <c r="F1012" t="s">
        <v>47</v>
      </c>
      <c r="G1012" t="s">
        <v>17</v>
      </c>
      <c r="H1012" t="s">
        <v>141</v>
      </c>
      <c r="J1012" t="s">
        <v>277</v>
      </c>
      <c r="K1012" s="2">
        <v>31</v>
      </c>
      <c r="L1012">
        <v>16</v>
      </c>
      <c r="M1012">
        <f t="shared" si="15"/>
        <v>496</v>
      </c>
    </row>
    <row r="1013" spans="1:13">
      <c r="A1013" t="s">
        <v>275</v>
      </c>
      <c r="B1013" t="s">
        <v>276</v>
      </c>
      <c r="C1013" s="1">
        <v>39917</v>
      </c>
      <c r="D1013" t="s">
        <v>38</v>
      </c>
      <c r="E1013" t="s">
        <v>15</v>
      </c>
      <c r="F1013" t="s">
        <v>29</v>
      </c>
      <c r="G1013" t="s">
        <v>17</v>
      </c>
      <c r="H1013" t="s">
        <v>141</v>
      </c>
      <c r="J1013" t="s">
        <v>277</v>
      </c>
      <c r="K1013" s="2">
        <v>49.3</v>
      </c>
      <c r="L1013">
        <v>3</v>
      </c>
      <c r="M1013">
        <f t="shared" si="15"/>
        <v>147.89999999999998</v>
      </c>
    </row>
    <row r="1014" spans="1:13">
      <c r="A1014" t="s">
        <v>275</v>
      </c>
      <c r="B1014" t="s">
        <v>276</v>
      </c>
      <c r="C1014" s="1">
        <v>39700</v>
      </c>
      <c r="D1014" t="s">
        <v>137</v>
      </c>
      <c r="E1014" t="s">
        <v>21</v>
      </c>
      <c r="F1014" t="s">
        <v>76</v>
      </c>
      <c r="G1014" t="s">
        <v>17</v>
      </c>
      <c r="H1014" t="s">
        <v>141</v>
      </c>
      <c r="J1014" t="s">
        <v>277</v>
      </c>
      <c r="K1014" s="2">
        <v>10</v>
      </c>
      <c r="L1014">
        <v>42</v>
      </c>
      <c r="M1014">
        <f t="shared" si="15"/>
        <v>420</v>
      </c>
    </row>
    <row r="1015" spans="1:13">
      <c r="A1015" t="s">
        <v>275</v>
      </c>
      <c r="B1015" t="s">
        <v>276</v>
      </c>
      <c r="C1015" s="1">
        <v>40116</v>
      </c>
      <c r="D1015" t="s">
        <v>28</v>
      </c>
      <c r="E1015" t="s">
        <v>67</v>
      </c>
      <c r="F1015" t="s">
        <v>29</v>
      </c>
      <c r="G1015" t="s">
        <v>17</v>
      </c>
      <c r="H1015" t="s">
        <v>141</v>
      </c>
      <c r="J1015" t="s">
        <v>277</v>
      </c>
      <c r="K1015" s="2">
        <v>28.5</v>
      </c>
      <c r="L1015">
        <v>5</v>
      </c>
      <c r="M1015">
        <f t="shared" si="15"/>
        <v>142.5</v>
      </c>
    </row>
    <row r="1016" spans="1:13">
      <c r="A1016" t="s">
        <v>275</v>
      </c>
      <c r="B1016" t="s">
        <v>276</v>
      </c>
      <c r="C1016" s="1">
        <v>39981</v>
      </c>
      <c r="D1016" t="s">
        <v>131</v>
      </c>
      <c r="E1016" t="s">
        <v>15</v>
      </c>
      <c r="F1016" t="s">
        <v>132</v>
      </c>
      <c r="G1016" t="s">
        <v>17</v>
      </c>
      <c r="H1016" t="s">
        <v>141</v>
      </c>
      <c r="J1016" t="s">
        <v>277</v>
      </c>
      <c r="K1016" s="2">
        <v>21</v>
      </c>
      <c r="L1016">
        <v>15</v>
      </c>
      <c r="M1016">
        <f t="shared" si="15"/>
        <v>315</v>
      </c>
    </row>
    <row r="1017" spans="1:13">
      <c r="A1017" t="s">
        <v>275</v>
      </c>
      <c r="B1017" t="s">
        <v>276</v>
      </c>
      <c r="C1017" s="1">
        <v>39981</v>
      </c>
      <c r="D1017" t="s">
        <v>62</v>
      </c>
      <c r="E1017" t="s">
        <v>15</v>
      </c>
      <c r="F1017" t="s">
        <v>63</v>
      </c>
      <c r="G1017" t="s">
        <v>17</v>
      </c>
      <c r="H1017" t="s">
        <v>141</v>
      </c>
      <c r="J1017" t="s">
        <v>277</v>
      </c>
      <c r="K1017" s="2">
        <v>38</v>
      </c>
      <c r="L1017">
        <v>60</v>
      </c>
      <c r="M1017">
        <f t="shared" si="15"/>
        <v>2280</v>
      </c>
    </row>
    <row r="1018" spans="1:13">
      <c r="A1018" t="s">
        <v>275</v>
      </c>
      <c r="B1018" t="s">
        <v>276</v>
      </c>
      <c r="C1018" s="1">
        <v>40029</v>
      </c>
      <c r="D1018" t="s">
        <v>34</v>
      </c>
      <c r="E1018" t="s">
        <v>15</v>
      </c>
      <c r="F1018" t="s">
        <v>35</v>
      </c>
      <c r="G1018" t="s">
        <v>17</v>
      </c>
      <c r="H1018" t="s">
        <v>141</v>
      </c>
      <c r="J1018" t="s">
        <v>277</v>
      </c>
      <c r="K1018" s="2">
        <v>10</v>
      </c>
      <c r="L1018">
        <v>42</v>
      </c>
      <c r="M1018">
        <f t="shared" si="15"/>
        <v>420</v>
      </c>
    </row>
    <row r="1019" spans="1:13">
      <c r="A1019" t="s">
        <v>275</v>
      </c>
      <c r="B1019" t="s">
        <v>276</v>
      </c>
      <c r="C1019" s="1">
        <v>40029</v>
      </c>
      <c r="D1019" t="s">
        <v>117</v>
      </c>
      <c r="E1019" t="s">
        <v>15</v>
      </c>
      <c r="F1019" t="s">
        <v>118</v>
      </c>
      <c r="G1019" t="s">
        <v>17</v>
      </c>
      <c r="H1019" t="s">
        <v>141</v>
      </c>
      <c r="J1019" t="s">
        <v>277</v>
      </c>
      <c r="K1019" s="2">
        <v>21</v>
      </c>
      <c r="L1019">
        <v>40</v>
      </c>
      <c r="M1019">
        <f t="shared" si="15"/>
        <v>840</v>
      </c>
    </row>
    <row r="1020" spans="1:13">
      <c r="A1020" t="s">
        <v>275</v>
      </c>
      <c r="B1020" t="s">
        <v>276</v>
      </c>
      <c r="C1020" s="1">
        <v>39851</v>
      </c>
      <c r="D1020" t="s">
        <v>20</v>
      </c>
      <c r="E1020" t="s">
        <v>89</v>
      </c>
      <c r="F1020" t="s">
        <v>22</v>
      </c>
      <c r="G1020" t="s">
        <v>17</v>
      </c>
      <c r="H1020" t="s">
        <v>141</v>
      </c>
      <c r="J1020" t="s">
        <v>277</v>
      </c>
      <c r="K1020" s="2">
        <v>13.9</v>
      </c>
      <c r="L1020">
        <v>16</v>
      </c>
      <c r="M1020">
        <f t="shared" si="15"/>
        <v>222.4</v>
      </c>
    </row>
    <row r="1021" spans="1:13">
      <c r="A1021" t="s">
        <v>275</v>
      </c>
      <c r="B1021" t="s">
        <v>276</v>
      </c>
      <c r="C1021" s="1">
        <v>40026</v>
      </c>
      <c r="D1021" t="s">
        <v>155</v>
      </c>
      <c r="E1021" t="s">
        <v>21</v>
      </c>
      <c r="F1021" t="s">
        <v>25</v>
      </c>
      <c r="G1021" t="s">
        <v>17</v>
      </c>
      <c r="H1021" t="s">
        <v>141</v>
      </c>
      <c r="J1021" t="s">
        <v>277</v>
      </c>
      <c r="K1021" s="2">
        <v>25</v>
      </c>
      <c r="L1021">
        <v>70</v>
      </c>
      <c r="M1021">
        <f t="shared" si="15"/>
        <v>1750</v>
      </c>
    </row>
    <row r="1022" spans="1:13">
      <c r="A1022" t="s">
        <v>275</v>
      </c>
      <c r="B1022" t="s">
        <v>276</v>
      </c>
      <c r="C1022" s="1">
        <v>39738</v>
      </c>
      <c r="D1022" t="s">
        <v>110</v>
      </c>
      <c r="E1022" t="s">
        <v>15</v>
      </c>
      <c r="F1022" t="s">
        <v>74</v>
      </c>
      <c r="G1022" t="s">
        <v>17</v>
      </c>
      <c r="H1022" t="s">
        <v>141</v>
      </c>
      <c r="J1022" t="s">
        <v>277</v>
      </c>
      <c r="K1022" s="2">
        <v>11.2</v>
      </c>
      <c r="L1022">
        <v>10</v>
      </c>
      <c r="M1022">
        <f t="shared" si="15"/>
        <v>112</v>
      </c>
    </row>
    <row r="1023" spans="1:13">
      <c r="A1023" t="s">
        <v>275</v>
      </c>
      <c r="B1023" t="s">
        <v>276</v>
      </c>
      <c r="C1023" s="1">
        <v>39851</v>
      </c>
      <c r="D1023" t="s">
        <v>154</v>
      </c>
      <c r="E1023" t="s">
        <v>89</v>
      </c>
      <c r="F1023" t="s">
        <v>132</v>
      </c>
      <c r="G1023" t="s">
        <v>17</v>
      </c>
      <c r="H1023" t="s">
        <v>141</v>
      </c>
      <c r="J1023" t="s">
        <v>277</v>
      </c>
      <c r="K1023" s="2">
        <v>30.4</v>
      </c>
      <c r="L1023">
        <v>15</v>
      </c>
      <c r="M1023">
        <f t="shared" si="15"/>
        <v>456</v>
      </c>
    </row>
    <row r="1024" spans="1:13">
      <c r="A1024" t="s">
        <v>275</v>
      </c>
      <c r="B1024" t="s">
        <v>276</v>
      </c>
      <c r="C1024" s="1">
        <v>39851</v>
      </c>
      <c r="D1024" t="s">
        <v>147</v>
      </c>
      <c r="E1024" t="s">
        <v>89</v>
      </c>
      <c r="F1024" t="s">
        <v>51</v>
      </c>
      <c r="G1024" t="s">
        <v>17</v>
      </c>
      <c r="H1024" t="s">
        <v>141</v>
      </c>
      <c r="J1024" t="s">
        <v>277</v>
      </c>
      <c r="K1024" s="2">
        <v>26.6</v>
      </c>
      <c r="L1024">
        <v>6</v>
      </c>
      <c r="M1024">
        <f t="shared" si="15"/>
        <v>159.60000000000002</v>
      </c>
    </row>
    <row r="1025" spans="1:13">
      <c r="A1025" t="s">
        <v>275</v>
      </c>
      <c r="B1025" t="s">
        <v>276</v>
      </c>
      <c r="C1025" s="1">
        <v>39738</v>
      </c>
      <c r="D1025" t="s">
        <v>170</v>
      </c>
      <c r="E1025" t="s">
        <v>15</v>
      </c>
      <c r="F1025" t="s">
        <v>101</v>
      </c>
      <c r="G1025" t="s">
        <v>17</v>
      </c>
      <c r="H1025" t="s">
        <v>141</v>
      </c>
      <c r="J1025" t="s">
        <v>277</v>
      </c>
      <c r="K1025" s="2">
        <v>7.6</v>
      </c>
      <c r="L1025">
        <v>16</v>
      </c>
      <c r="M1025">
        <f t="shared" si="15"/>
        <v>121.6</v>
      </c>
    </row>
    <row r="1026" spans="1:13">
      <c r="A1026" t="s">
        <v>275</v>
      </c>
      <c r="B1026" t="s">
        <v>276</v>
      </c>
      <c r="C1026" s="1">
        <v>39738</v>
      </c>
      <c r="D1026" t="s">
        <v>42</v>
      </c>
      <c r="E1026" t="s">
        <v>15</v>
      </c>
      <c r="F1026" t="s">
        <v>22</v>
      </c>
      <c r="G1026" t="s">
        <v>17</v>
      </c>
      <c r="H1026" t="s">
        <v>141</v>
      </c>
      <c r="J1026" t="s">
        <v>277</v>
      </c>
      <c r="K1026" s="2">
        <v>50</v>
      </c>
      <c r="L1026">
        <v>40</v>
      </c>
      <c r="M1026">
        <f t="shared" si="15"/>
        <v>2000</v>
      </c>
    </row>
    <row r="1027" spans="1:13">
      <c r="A1027" t="s">
        <v>275</v>
      </c>
      <c r="B1027" t="s">
        <v>276</v>
      </c>
      <c r="C1027" s="1">
        <v>40026</v>
      </c>
      <c r="D1027" t="s">
        <v>82</v>
      </c>
      <c r="E1027" t="s">
        <v>21</v>
      </c>
      <c r="F1027" t="s">
        <v>35</v>
      </c>
      <c r="G1027" t="s">
        <v>17</v>
      </c>
      <c r="H1027" t="s">
        <v>141</v>
      </c>
      <c r="J1027" t="s">
        <v>277</v>
      </c>
      <c r="K1027" s="2">
        <v>12.5</v>
      </c>
      <c r="L1027">
        <v>15</v>
      </c>
      <c r="M1027">
        <f t="shared" ref="M1027:M1090" si="16">K1027*L1027</f>
        <v>187.5</v>
      </c>
    </row>
    <row r="1028" spans="1:13">
      <c r="A1028" t="s">
        <v>278</v>
      </c>
      <c r="B1028" t="s">
        <v>279</v>
      </c>
      <c r="C1028" s="1">
        <v>39711</v>
      </c>
      <c r="D1028" t="s">
        <v>20</v>
      </c>
      <c r="E1028" t="s">
        <v>67</v>
      </c>
      <c r="F1028" t="s">
        <v>22</v>
      </c>
      <c r="G1028" t="s">
        <v>17</v>
      </c>
      <c r="H1028" t="s">
        <v>158</v>
      </c>
      <c r="I1028" t="s">
        <v>280</v>
      </c>
      <c r="J1028" t="s">
        <v>281</v>
      </c>
      <c r="K1028" s="2">
        <v>13.9</v>
      </c>
      <c r="L1028">
        <v>10</v>
      </c>
      <c r="M1028">
        <f t="shared" si="16"/>
        <v>139</v>
      </c>
    </row>
    <row r="1029" spans="1:13">
      <c r="A1029" t="s">
        <v>278</v>
      </c>
      <c r="B1029" t="s">
        <v>279</v>
      </c>
      <c r="C1029" s="1">
        <v>39711</v>
      </c>
      <c r="D1029" t="s">
        <v>38</v>
      </c>
      <c r="E1029" t="s">
        <v>67</v>
      </c>
      <c r="F1029" t="s">
        <v>29</v>
      </c>
      <c r="G1029" t="s">
        <v>17</v>
      </c>
      <c r="H1029" t="s">
        <v>158</v>
      </c>
      <c r="I1029" t="s">
        <v>280</v>
      </c>
      <c r="J1029" t="s">
        <v>281</v>
      </c>
      <c r="K1029" s="2">
        <v>39.4</v>
      </c>
      <c r="L1029">
        <v>5</v>
      </c>
      <c r="M1029">
        <f t="shared" si="16"/>
        <v>197</v>
      </c>
    </row>
    <row r="1030" spans="1:13">
      <c r="A1030" t="s">
        <v>278</v>
      </c>
      <c r="B1030" t="s">
        <v>279</v>
      </c>
      <c r="C1030" s="1">
        <v>39539</v>
      </c>
      <c r="D1030" t="s">
        <v>75</v>
      </c>
      <c r="E1030" t="s">
        <v>21</v>
      </c>
      <c r="F1030" t="s">
        <v>76</v>
      </c>
      <c r="G1030" t="s">
        <v>39</v>
      </c>
      <c r="H1030" t="s">
        <v>158</v>
      </c>
      <c r="I1030" t="s">
        <v>280</v>
      </c>
      <c r="J1030" t="s">
        <v>281</v>
      </c>
      <c r="K1030" s="2">
        <v>34.799999999999997</v>
      </c>
      <c r="L1030">
        <v>2</v>
      </c>
      <c r="M1030">
        <f t="shared" si="16"/>
        <v>69.599999999999994</v>
      </c>
    </row>
    <row r="1031" spans="1:13">
      <c r="A1031" t="s">
        <v>278</v>
      </c>
      <c r="B1031" t="s">
        <v>279</v>
      </c>
      <c r="C1031" s="1">
        <v>40103</v>
      </c>
      <c r="D1031" t="s">
        <v>57</v>
      </c>
      <c r="E1031" t="s">
        <v>89</v>
      </c>
      <c r="F1031" t="s">
        <v>58</v>
      </c>
      <c r="G1031" t="s">
        <v>17</v>
      </c>
      <c r="H1031" t="s">
        <v>158</v>
      </c>
      <c r="I1031" t="s">
        <v>280</v>
      </c>
      <c r="J1031" t="s">
        <v>281</v>
      </c>
      <c r="K1031" s="2">
        <v>19</v>
      </c>
      <c r="L1031">
        <v>5</v>
      </c>
      <c r="M1031">
        <f t="shared" si="16"/>
        <v>95</v>
      </c>
    </row>
    <row r="1032" spans="1:13">
      <c r="A1032" t="s">
        <v>278</v>
      </c>
      <c r="B1032" t="s">
        <v>279</v>
      </c>
      <c r="C1032" s="1">
        <v>40086</v>
      </c>
      <c r="D1032" t="s">
        <v>59</v>
      </c>
      <c r="E1032" t="s">
        <v>53</v>
      </c>
      <c r="F1032" t="s">
        <v>45</v>
      </c>
      <c r="G1032" t="s">
        <v>39</v>
      </c>
      <c r="H1032" t="s">
        <v>158</v>
      </c>
      <c r="I1032" t="s">
        <v>280</v>
      </c>
      <c r="J1032" t="s">
        <v>281</v>
      </c>
      <c r="K1032" s="2">
        <v>14</v>
      </c>
      <c r="L1032">
        <v>10</v>
      </c>
      <c r="M1032">
        <f t="shared" si="16"/>
        <v>140</v>
      </c>
    </row>
    <row r="1033" spans="1:13">
      <c r="A1033" t="s">
        <v>278</v>
      </c>
      <c r="B1033" t="s">
        <v>279</v>
      </c>
      <c r="C1033" s="1">
        <v>40086</v>
      </c>
      <c r="D1033" t="s">
        <v>55</v>
      </c>
      <c r="E1033" t="s">
        <v>53</v>
      </c>
      <c r="F1033" t="s">
        <v>56</v>
      </c>
      <c r="G1033" t="s">
        <v>39</v>
      </c>
      <c r="H1033" t="s">
        <v>158</v>
      </c>
      <c r="I1033" t="s">
        <v>280</v>
      </c>
      <c r="J1033" t="s">
        <v>281</v>
      </c>
      <c r="K1033" s="2">
        <v>263.5</v>
      </c>
      <c r="L1033">
        <v>10</v>
      </c>
      <c r="M1033">
        <f t="shared" si="16"/>
        <v>2635</v>
      </c>
    </row>
    <row r="1034" spans="1:13">
      <c r="A1034" t="s">
        <v>278</v>
      </c>
      <c r="B1034" t="s">
        <v>279</v>
      </c>
      <c r="C1034" s="1">
        <v>40103</v>
      </c>
      <c r="D1034" t="s">
        <v>149</v>
      </c>
      <c r="E1034" t="s">
        <v>89</v>
      </c>
      <c r="F1034" t="s">
        <v>27</v>
      </c>
      <c r="G1034" t="s">
        <v>17</v>
      </c>
      <c r="H1034" t="s">
        <v>158</v>
      </c>
      <c r="I1034" t="s">
        <v>280</v>
      </c>
      <c r="J1034" t="s">
        <v>281</v>
      </c>
      <c r="K1034" s="2">
        <v>21.35</v>
      </c>
      <c r="L1034">
        <v>4</v>
      </c>
      <c r="M1034">
        <f t="shared" si="16"/>
        <v>85.4</v>
      </c>
    </row>
    <row r="1035" spans="1:13">
      <c r="A1035" t="s">
        <v>282</v>
      </c>
      <c r="B1035" t="s">
        <v>283</v>
      </c>
      <c r="C1035" s="1">
        <v>39551</v>
      </c>
      <c r="D1035" t="s">
        <v>119</v>
      </c>
      <c r="E1035" t="s">
        <v>89</v>
      </c>
      <c r="F1035" t="s">
        <v>97</v>
      </c>
      <c r="G1035" t="s">
        <v>39</v>
      </c>
      <c r="H1035" t="s">
        <v>158</v>
      </c>
      <c r="I1035" t="s">
        <v>284</v>
      </c>
      <c r="J1035" t="s">
        <v>285</v>
      </c>
      <c r="K1035" s="2">
        <v>20</v>
      </c>
      <c r="L1035">
        <v>2</v>
      </c>
      <c r="M1035">
        <f t="shared" si="16"/>
        <v>40</v>
      </c>
    </row>
    <row r="1036" spans="1:13">
      <c r="A1036" t="s">
        <v>282</v>
      </c>
      <c r="B1036" t="s">
        <v>283</v>
      </c>
      <c r="C1036" s="1">
        <v>39460</v>
      </c>
      <c r="D1036" t="s">
        <v>136</v>
      </c>
      <c r="E1036" t="s">
        <v>103</v>
      </c>
      <c r="F1036" t="s">
        <v>35</v>
      </c>
      <c r="G1036" t="s">
        <v>39</v>
      </c>
      <c r="H1036" t="s">
        <v>158</v>
      </c>
      <c r="I1036" t="s">
        <v>284</v>
      </c>
      <c r="J1036" t="s">
        <v>285</v>
      </c>
      <c r="K1036" s="2">
        <v>81</v>
      </c>
      <c r="L1036">
        <v>5</v>
      </c>
      <c r="M1036">
        <f t="shared" si="16"/>
        <v>405</v>
      </c>
    </row>
    <row r="1037" spans="1:13">
      <c r="A1037" t="s">
        <v>282</v>
      </c>
      <c r="B1037" t="s">
        <v>283</v>
      </c>
      <c r="C1037" s="1">
        <v>39551</v>
      </c>
      <c r="D1037" t="s">
        <v>70</v>
      </c>
      <c r="E1037" t="s">
        <v>89</v>
      </c>
      <c r="F1037" t="s">
        <v>61</v>
      </c>
      <c r="G1037" t="s">
        <v>39</v>
      </c>
      <c r="H1037" t="s">
        <v>158</v>
      </c>
      <c r="I1037" t="s">
        <v>284</v>
      </c>
      <c r="J1037" t="s">
        <v>285</v>
      </c>
      <c r="K1037" s="2">
        <v>12</v>
      </c>
      <c r="L1037">
        <v>3</v>
      </c>
      <c r="M1037">
        <f t="shared" si="16"/>
        <v>36</v>
      </c>
    </row>
    <row r="1038" spans="1:13">
      <c r="A1038" t="s">
        <v>282</v>
      </c>
      <c r="B1038" t="s">
        <v>283</v>
      </c>
      <c r="C1038" s="1">
        <v>39460</v>
      </c>
      <c r="D1038" t="s">
        <v>55</v>
      </c>
      <c r="E1038" t="s">
        <v>103</v>
      </c>
      <c r="F1038" t="s">
        <v>56</v>
      </c>
      <c r="G1038" t="s">
        <v>39</v>
      </c>
      <c r="H1038" t="s">
        <v>158</v>
      </c>
      <c r="I1038" t="s">
        <v>284</v>
      </c>
      <c r="J1038" t="s">
        <v>285</v>
      </c>
      <c r="K1038" s="2">
        <v>263.5</v>
      </c>
      <c r="L1038">
        <v>2</v>
      </c>
      <c r="M1038">
        <f t="shared" si="16"/>
        <v>527</v>
      </c>
    </row>
    <row r="1039" spans="1:13">
      <c r="A1039" t="s">
        <v>282</v>
      </c>
      <c r="B1039" t="s">
        <v>283</v>
      </c>
      <c r="C1039" s="1">
        <v>39505</v>
      </c>
      <c r="D1039" t="s">
        <v>138</v>
      </c>
      <c r="E1039" t="s">
        <v>21</v>
      </c>
      <c r="F1039" t="s">
        <v>76</v>
      </c>
      <c r="G1039" t="s">
        <v>39</v>
      </c>
      <c r="H1039" t="s">
        <v>158</v>
      </c>
      <c r="I1039" t="s">
        <v>284</v>
      </c>
      <c r="J1039" t="s">
        <v>285</v>
      </c>
      <c r="K1039" s="2">
        <v>32</v>
      </c>
      <c r="L1039">
        <v>6</v>
      </c>
      <c r="M1039">
        <f t="shared" si="16"/>
        <v>192</v>
      </c>
    </row>
    <row r="1040" spans="1:13">
      <c r="A1040" t="s">
        <v>282</v>
      </c>
      <c r="B1040" t="s">
        <v>283</v>
      </c>
      <c r="C1040" s="1">
        <v>39505</v>
      </c>
      <c r="D1040" t="s">
        <v>20</v>
      </c>
      <c r="E1040" t="s">
        <v>21</v>
      </c>
      <c r="F1040" t="s">
        <v>22</v>
      </c>
      <c r="G1040" t="s">
        <v>39</v>
      </c>
      <c r="H1040" t="s">
        <v>158</v>
      </c>
      <c r="I1040" t="s">
        <v>284</v>
      </c>
      <c r="J1040" t="s">
        <v>285</v>
      </c>
      <c r="K1040" s="2">
        <v>17.45</v>
      </c>
      <c r="L1040">
        <v>6</v>
      </c>
      <c r="M1040">
        <f t="shared" si="16"/>
        <v>104.69999999999999</v>
      </c>
    </row>
    <row r="1041" spans="1:13">
      <c r="A1041" t="s">
        <v>282</v>
      </c>
      <c r="B1041" t="s">
        <v>283</v>
      </c>
      <c r="C1041" s="1">
        <v>39861</v>
      </c>
      <c r="D1041" t="s">
        <v>30</v>
      </c>
      <c r="E1041" t="s">
        <v>24</v>
      </c>
      <c r="F1041" t="s">
        <v>31</v>
      </c>
      <c r="G1041" t="s">
        <v>17</v>
      </c>
      <c r="H1041" t="s">
        <v>158</v>
      </c>
      <c r="I1041" t="s">
        <v>284</v>
      </c>
      <c r="J1041" t="s">
        <v>285</v>
      </c>
      <c r="K1041" s="2">
        <v>24.9</v>
      </c>
      <c r="L1041">
        <v>6</v>
      </c>
      <c r="M1041">
        <f t="shared" si="16"/>
        <v>149.39999999999998</v>
      </c>
    </row>
    <row r="1042" spans="1:13">
      <c r="A1042" t="s">
        <v>282</v>
      </c>
      <c r="B1042" t="s">
        <v>283</v>
      </c>
      <c r="C1042" s="1">
        <v>40110</v>
      </c>
      <c r="D1042" t="s">
        <v>34</v>
      </c>
      <c r="E1042" t="s">
        <v>24</v>
      </c>
      <c r="F1042" t="s">
        <v>35</v>
      </c>
      <c r="G1042" t="s">
        <v>17</v>
      </c>
      <c r="H1042" t="s">
        <v>158</v>
      </c>
      <c r="I1042" t="s">
        <v>284</v>
      </c>
      <c r="J1042" t="s">
        <v>285</v>
      </c>
      <c r="K1042" s="2">
        <v>10</v>
      </c>
      <c r="L1042">
        <v>5</v>
      </c>
      <c r="M1042">
        <f t="shared" si="16"/>
        <v>50</v>
      </c>
    </row>
    <row r="1043" spans="1:13">
      <c r="A1043" t="s">
        <v>282</v>
      </c>
      <c r="B1043" t="s">
        <v>283</v>
      </c>
      <c r="C1043" s="1">
        <v>40110</v>
      </c>
      <c r="D1043" t="s">
        <v>85</v>
      </c>
      <c r="E1043" t="s">
        <v>24</v>
      </c>
      <c r="F1043" t="s">
        <v>33</v>
      </c>
      <c r="G1043" t="s">
        <v>17</v>
      </c>
      <c r="H1043" t="s">
        <v>158</v>
      </c>
      <c r="I1043" t="s">
        <v>284</v>
      </c>
      <c r="J1043" t="s">
        <v>285</v>
      </c>
      <c r="K1043" s="2">
        <v>53</v>
      </c>
      <c r="L1043">
        <v>7</v>
      </c>
      <c r="M1043">
        <f t="shared" si="16"/>
        <v>371</v>
      </c>
    </row>
    <row r="1044" spans="1:13">
      <c r="A1044" t="s">
        <v>282</v>
      </c>
      <c r="B1044" t="s">
        <v>283</v>
      </c>
      <c r="C1044" s="1">
        <v>40110</v>
      </c>
      <c r="D1044" t="s">
        <v>28</v>
      </c>
      <c r="E1044" t="s">
        <v>24</v>
      </c>
      <c r="F1044" t="s">
        <v>29</v>
      </c>
      <c r="G1044" t="s">
        <v>17</v>
      </c>
      <c r="H1044" t="s">
        <v>158</v>
      </c>
      <c r="I1044" t="s">
        <v>284</v>
      </c>
      <c r="J1044" t="s">
        <v>285</v>
      </c>
      <c r="K1044" s="2">
        <v>28.5</v>
      </c>
      <c r="L1044">
        <v>10</v>
      </c>
      <c r="M1044">
        <f t="shared" si="16"/>
        <v>285</v>
      </c>
    </row>
    <row r="1045" spans="1:13">
      <c r="A1045" t="s">
        <v>282</v>
      </c>
      <c r="B1045" t="s">
        <v>283</v>
      </c>
      <c r="C1045" s="1">
        <v>39861</v>
      </c>
      <c r="D1045" t="s">
        <v>185</v>
      </c>
      <c r="E1045" t="s">
        <v>24</v>
      </c>
      <c r="F1045" t="s">
        <v>134</v>
      </c>
      <c r="G1045" t="s">
        <v>17</v>
      </c>
      <c r="H1045" t="s">
        <v>158</v>
      </c>
      <c r="I1045" t="s">
        <v>284</v>
      </c>
      <c r="J1045" t="s">
        <v>285</v>
      </c>
      <c r="K1045" s="2">
        <v>14.7</v>
      </c>
      <c r="L1045">
        <v>20</v>
      </c>
      <c r="M1045">
        <f t="shared" si="16"/>
        <v>294</v>
      </c>
    </row>
    <row r="1046" spans="1:13">
      <c r="A1046" t="s">
        <v>282</v>
      </c>
      <c r="B1046" t="s">
        <v>283</v>
      </c>
      <c r="C1046" s="1">
        <v>39505</v>
      </c>
      <c r="D1046" t="s">
        <v>123</v>
      </c>
      <c r="E1046" t="s">
        <v>21</v>
      </c>
      <c r="F1046" t="s">
        <v>63</v>
      </c>
      <c r="G1046" t="s">
        <v>39</v>
      </c>
      <c r="H1046" t="s">
        <v>158</v>
      </c>
      <c r="I1046" t="s">
        <v>284</v>
      </c>
      <c r="J1046" t="s">
        <v>285</v>
      </c>
      <c r="K1046" s="2">
        <v>19.5</v>
      </c>
      <c r="L1046">
        <v>20</v>
      </c>
      <c r="M1046">
        <f t="shared" si="16"/>
        <v>390</v>
      </c>
    </row>
    <row r="1047" spans="1:13">
      <c r="A1047" t="s">
        <v>286</v>
      </c>
      <c r="B1047" t="s">
        <v>287</v>
      </c>
      <c r="C1047" s="1">
        <v>39527</v>
      </c>
      <c r="D1047" t="s">
        <v>62</v>
      </c>
      <c r="E1047" t="s">
        <v>24</v>
      </c>
      <c r="F1047" t="s">
        <v>63</v>
      </c>
      <c r="G1047" t="s">
        <v>39</v>
      </c>
      <c r="H1047" t="s">
        <v>114</v>
      </c>
      <c r="J1047" t="s">
        <v>288</v>
      </c>
      <c r="K1047" s="2">
        <v>38</v>
      </c>
      <c r="L1047">
        <v>12</v>
      </c>
      <c r="M1047">
        <f t="shared" si="16"/>
        <v>456</v>
      </c>
    </row>
    <row r="1048" spans="1:13">
      <c r="A1048" t="s">
        <v>286</v>
      </c>
      <c r="B1048" t="s">
        <v>287</v>
      </c>
      <c r="C1048" s="1">
        <v>39527</v>
      </c>
      <c r="D1048" t="s">
        <v>135</v>
      </c>
      <c r="E1048" t="s">
        <v>24</v>
      </c>
      <c r="F1048" t="s">
        <v>58</v>
      </c>
      <c r="G1048" t="s">
        <v>39</v>
      </c>
      <c r="H1048" t="s">
        <v>114</v>
      </c>
      <c r="J1048" t="s">
        <v>288</v>
      </c>
      <c r="K1048" s="2">
        <v>26</v>
      </c>
      <c r="L1048">
        <v>8</v>
      </c>
      <c r="M1048">
        <f t="shared" si="16"/>
        <v>208</v>
      </c>
    </row>
    <row r="1049" spans="1:13">
      <c r="A1049" t="s">
        <v>286</v>
      </c>
      <c r="B1049" t="s">
        <v>287</v>
      </c>
      <c r="C1049" s="1">
        <v>39560</v>
      </c>
      <c r="D1049" t="s">
        <v>72</v>
      </c>
      <c r="E1049" t="s">
        <v>15</v>
      </c>
      <c r="F1049" t="s">
        <v>22</v>
      </c>
      <c r="G1049" t="s">
        <v>39</v>
      </c>
      <c r="H1049" t="s">
        <v>114</v>
      </c>
      <c r="J1049" t="s">
        <v>288</v>
      </c>
      <c r="K1049" s="2">
        <v>43.9</v>
      </c>
      <c r="L1049">
        <v>30</v>
      </c>
      <c r="M1049">
        <f t="shared" si="16"/>
        <v>1317</v>
      </c>
    </row>
    <row r="1050" spans="1:13">
      <c r="A1050" t="s">
        <v>286</v>
      </c>
      <c r="B1050" t="s">
        <v>287</v>
      </c>
      <c r="C1050" s="1">
        <v>39527</v>
      </c>
      <c r="D1050" t="s">
        <v>38</v>
      </c>
      <c r="E1050" t="s">
        <v>24</v>
      </c>
      <c r="F1050" t="s">
        <v>29</v>
      </c>
      <c r="G1050" t="s">
        <v>39</v>
      </c>
      <c r="H1050" t="s">
        <v>114</v>
      </c>
      <c r="J1050" t="s">
        <v>288</v>
      </c>
      <c r="K1050" s="2">
        <v>49.3</v>
      </c>
      <c r="L1050">
        <v>12</v>
      </c>
      <c r="M1050">
        <f t="shared" si="16"/>
        <v>591.59999999999991</v>
      </c>
    </row>
    <row r="1051" spans="1:13">
      <c r="A1051" t="s">
        <v>286</v>
      </c>
      <c r="B1051" t="s">
        <v>287</v>
      </c>
      <c r="C1051" s="1">
        <v>40092</v>
      </c>
      <c r="D1051" t="s">
        <v>34</v>
      </c>
      <c r="E1051" t="s">
        <v>50</v>
      </c>
      <c r="F1051" t="s">
        <v>35</v>
      </c>
      <c r="G1051" t="s">
        <v>17</v>
      </c>
      <c r="H1051" t="s">
        <v>114</v>
      </c>
      <c r="J1051" t="s">
        <v>288</v>
      </c>
      <c r="K1051" s="2">
        <v>10</v>
      </c>
      <c r="L1051">
        <v>40</v>
      </c>
      <c r="M1051">
        <f t="shared" si="16"/>
        <v>400</v>
      </c>
    </row>
    <row r="1052" spans="1:13">
      <c r="A1052" t="s">
        <v>286</v>
      </c>
      <c r="B1052" t="s">
        <v>287</v>
      </c>
      <c r="C1052" s="1">
        <v>39554</v>
      </c>
      <c r="D1052" t="s">
        <v>62</v>
      </c>
      <c r="E1052" t="s">
        <v>24</v>
      </c>
      <c r="F1052" t="s">
        <v>63</v>
      </c>
      <c r="G1052" t="s">
        <v>39</v>
      </c>
      <c r="H1052" t="s">
        <v>114</v>
      </c>
      <c r="J1052" t="s">
        <v>288</v>
      </c>
      <c r="K1052" s="2">
        <v>38</v>
      </c>
      <c r="L1052">
        <v>20</v>
      </c>
      <c r="M1052">
        <f t="shared" si="16"/>
        <v>760</v>
      </c>
    </row>
    <row r="1053" spans="1:13">
      <c r="A1053" t="s">
        <v>286</v>
      </c>
      <c r="B1053" t="s">
        <v>287</v>
      </c>
      <c r="C1053" s="1">
        <v>39931</v>
      </c>
      <c r="D1053" t="s">
        <v>86</v>
      </c>
      <c r="E1053" t="s">
        <v>89</v>
      </c>
      <c r="F1053" t="s">
        <v>54</v>
      </c>
      <c r="G1053" t="s">
        <v>17</v>
      </c>
      <c r="H1053" t="s">
        <v>114</v>
      </c>
      <c r="J1053" t="s">
        <v>288</v>
      </c>
      <c r="K1053" s="2">
        <v>34</v>
      </c>
      <c r="L1053">
        <v>10</v>
      </c>
      <c r="M1053">
        <f t="shared" si="16"/>
        <v>340</v>
      </c>
    </row>
    <row r="1054" spans="1:13">
      <c r="A1054" t="s">
        <v>286</v>
      </c>
      <c r="B1054" t="s">
        <v>287</v>
      </c>
      <c r="C1054" s="1">
        <v>40105</v>
      </c>
      <c r="D1054" t="s">
        <v>43</v>
      </c>
      <c r="E1054" t="s">
        <v>21</v>
      </c>
      <c r="F1054" t="s">
        <v>41</v>
      </c>
      <c r="G1054" t="s">
        <v>17</v>
      </c>
      <c r="H1054" t="s">
        <v>114</v>
      </c>
      <c r="J1054" t="s">
        <v>288</v>
      </c>
      <c r="K1054" s="2">
        <v>36</v>
      </c>
      <c r="L1054">
        <v>40</v>
      </c>
      <c r="M1054">
        <f t="shared" si="16"/>
        <v>1440</v>
      </c>
    </row>
    <row r="1055" spans="1:13">
      <c r="A1055" t="s">
        <v>286</v>
      </c>
      <c r="B1055" t="s">
        <v>287</v>
      </c>
      <c r="C1055" s="1">
        <v>39931</v>
      </c>
      <c r="D1055" t="s">
        <v>102</v>
      </c>
      <c r="E1055" t="s">
        <v>89</v>
      </c>
      <c r="F1055" t="s">
        <v>47</v>
      </c>
      <c r="G1055" t="s">
        <v>17</v>
      </c>
      <c r="H1055" t="s">
        <v>114</v>
      </c>
      <c r="J1055" t="s">
        <v>288</v>
      </c>
      <c r="K1055" s="2">
        <v>31</v>
      </c>
      <c r="L1055">
        <v>16</v>
      </c>
      <c r="M1055">
        <f t="shared" si="16"/>
        <v>496</v>
      </c>
    </row>
    <row r="1056" spans="1:13">
      <c r="A1056" t="s">
        <v>286</v>
      </c>
      <c r="B1056" t="s">
        <v>287</v>
      </c>
      <c r="C1056" s="1">
        <v>39560</v>
      </c>
      <c r="D1056" t="s">
        <v>36</v>
      </c>
      <c r="E1056" t="s">
        <v>15</v>
      </c>
      <c r="F1056" t="s">
        <v>37</v>
      </c>
      <c r="G1056" t="s">
        <v>39</v>
      </c>
      <c r="H1056" t="s">
        <v>114</v>
      </c>
      <c r="J1056" t="s">
        <v>288</v>
      </c>
      <c r="K1056" s="2">
        <v>19</v>
      </c>
      <c r="L1056">
        <v>30</v>
      </c>
      <c r="M1056">
        <f t="shared" si="16"/>
        <v>570</v>
      </c>
    </row>
    <row r="1057" spans="1:13">
      <c r="A1057" t="s">
        <v>286</v>
      </c>
      <c r="B1057" t="s">
        <v>287</v>
      </c>
      <c r="C1057" s="1">
        <v>40105</v>
      </c>
      <c r="D1057" t="s">
        <v>38</v>
      </c>
      <c r="E1057" t="s">
        <v>21</v>
      </c>
      <c r="F1057" t="s">
        <v>29</v>
      </c>
      <c r="G1057" t="s">
        <v>17</v>
      </c>
      <c r="H1057" t="s">
        <v>114</v>
      </c>
      <c r="J1057" t="s">
        <v>288</v>
      </c>
      <c r="K1057" s="2">
        <v>49.3</v>
      </c>
      <c r="L1057">
        <v>9</v>
      </c>
      <c r="M1057">
        <f t="shared" si="16"/>
        <v>443.7</v>
      </c>
    </row>
    <row r="1058" spans="1:13">
      <c r="A1058" t="s">
        <v>286</v>
      </c>
      <c r="B1058" t="s">
        <v>287</v>
      </c>
      <c r="C1058" s="1">
        <v>39931</v>
      </c>
      <c r="D1058" t="s">
        <v>62</v>
      </c>
      <c r="E1058" t="s">
        <v>89</v>
      </c>
      <c r="F1058" t="s">
        <v>63</v>
      </c>
      <c r="G1058" t="s">
        <v>17</v>
      </c>
      <c r="H1058" t="s">
        <v>114</v>
      </c>
      <c r="J1058" t="s">
        <v>288</v>
      </c>
      <c r="K1058" s="2">
        <v>38</v>
      </c>
      <c r="L1058">
        <v>40</v>
      </c>
      <c r="M1058">
        <f t="shared" si="16"/>
        <v>1520</v>
      </c>
    </row>
    <row r="1059" spans="1:13">
      <c r="A1059" t="s">
        <v>286</v>
      </c>
      <c r="B1059" t="s">
        <v>287</v>
      </c>
      <c r="C1059" s="1">
        <v>39554</v>
      </c>
      <c r="D1059" t="s">
        <v>72</v>
      </c>
      <c r="E1059" t="s">
        <v>24</v>
      </c>
      <c r="F1059" t="s">
        <v>22</v>
      </c>
      <c r="G1059" t="s">
        <v>39</v>
      </c>
      <c r="H1059" t="s">
        <v>114</v>
      </c>
      <c r="J1059" t="s">
        <v>288</v>
      </c>
      <c r="K1059" s="2">
        <v>43.9</v>
      </c>
      <c r="L1059">
        <v>12</v>
      </c>
      <c r="M1059">
        <f t="shared" si="16"/>
        <v>526.79999999999995</v>
      </c>
    </row>
    <row r="1060" spans="1:13">
      <c r="A1060" t="s">
        <v>286</v>
      </c>
      <c r="B1060" t="s">
        <v>287</v>
      </c>
      <c r="C1060" s="1">
        <v>39639</v>
      </c>
      <c r="D1060" t="s">
        <v>98</v>
      </c>
      <c r="E1060" t="s">
        <v>66</v>
      </c>
      <c r="F1060" t="s">
        <v>99</v>
      </c>
      <c r="G1060" t="s">
        <v>17</v>
      </c>
      <c r="H1060" t="s">
        <v>114</v>
      </c>
      <c r="J1060" t="s">
        <v>288</v>
      </c>
      <c r="K1060" s="2">
        <v>3.6</v>
      </c>
      <c r="L1060">
        <v>15</v>
      </c>
      <c r="M1060">
        <f t="shared" si="16"/>
        <v>54</v>
      </c>
    </row>
    <row r="1061" spans="1:13">
      <c r="A1061" t="s">
        <v>286</v>
      </c>
      <c r="B1061" t="s">
        <v>287</v>
      </c>
      <c r="C1061" s="1">
        <v>39694</v>
      </c>
      <c r="D1061" t="s">
        <v>111</v>
      </c>
      <c r="E1061" t="s">
        <v>89</v>
      </c>
      <c r="F1061" t="s">
        <v>37</v>
      </c>
      <c r="G1061" t="s">
        <v>17</v>
      </c>
      <c r="H1061" t="s">
        <v>114</v>
      </c>
      <c r="J1061" t="s">
        <v>288</v>
      </c>
      <c r="K1061" s="2">
        <v>14.4</v>
      </c>
      <c r="L1061">
        <v>15</v>
      </c>
      <c r="M1061">
        <f t="shared" si="16"/>
        <v>216</v>
      </c>
    </row>
    <row r="1062" spans="1:13">
      <c r="A1062" t="s">
        <v>286</v>
      </c>
      <c r="B1062" t="s">
        <v>287</v>
      </c>
      <c r="C1062" s="1">
        <v>40105</v>
      </c>
      <c r="D1062" t="s">
        <v>110</v>
      </c>
      <c r="E1062" t="s">
        <v>21</v>
      </c>
      <c r="F1062" t="s">
        <v>74</v>
      </c>
      <c r="G1062" t="s">
        <v>17</v>
      </c>
      <c r="H1062" t="s">
        <v>114</v>
      </c>
      <c r="J1062" t="s">
        <v>288</v>
      </c>
      <c r="K1062" s="2">
        <v>14</v>
      </c>
      <c r="L1062">
        <v>28</v>
      </c>
      <c r="M1062">
        <f t="shared" si="16"/>
        <v>392</v>
      </c>
    </row>
    <row r="1063" spans="1:13">
      <c r="A1063" t="s">
        <v>286</v>
      </c>
      <c r="B1063" t="s">
        <v>287</v>
      </c>
      <c r="C1063" s="1">
        <v>40105</v>
      </c>
      <c r="D1063" t="s">
        <v>124</v>
      </c>
      <c r="E1063" t="s">
        <v>21</v>
      </c>
      <c r="F1063" t="s">
        <v>125</v>
      </c>
      <c r="G1063" t="s">
        <v>17</v>
      </c>
      <c r="H1063" t="s">
        <v>114</v>
      </c>
      <c r="J1063" t="s">
        <v>288</v>
      </c>
      <c r="K1063" s="2">
        <v>6</v>
      </c>
      <c r="L1063">
        <v>6</v>
      </c>
      <c r="M1063">
        <f t="shared" si="16"/>
        <v>36</v>
      </c>
    </row>
    <row r="1064" spans="1:13">
      <c r="A1064" t="s">
        <v>286</v>
      </c>
      <c r="B1064" t="s">
        <v>287</v>
      </c>
      <c r="C1064" s="1">
        <v>39694</v>
      </c>
      <c r="D1064" t="s">
        <v>179</v>
      </c>
      <c r="E1064" t="s">
        <v>89</v>
      </c>
      <c r="F1064" t="s">
        <v>47</v>
      </c>
      <c r="G1064" t="s">
        <v>17</v>
      </c>
      <c r="H1064" t="s">
        <v>114</v>
      </c>
      <c r="J1064" t="s">
        <v>288</v>
      </c>
      <c r="K1064" s="2">
        <v>8</v>
      </c>
      <c r="L1064">
        <v>20</v>
      </c>
      <c r="M1064">
        <f t="shared" si="16"/>
        <v>160</v>
      </c>
    </row>
    <row r="1065" spans="1:13">
      <c r="A1065" t="s">
        <v>286</v>
      </c>
      <c r="B1065" t="s">
        <v>287</v>
      </c>
      <c r="C1065" s="1">
        <v>40092</v>
      </c>
      <c r="D1065" t="s">
        <v>85</v>
      </c>
      <c r="E1065" t="s">
        <v>50</v>
      </c>
      <c r="F1065" t="s">
        <v>33</v>
      </c>
      <c r="G1065" t="s">
        <v>17</v>
      </c>
      <c r="H1065" t="s">
        <v>114</v>
      </c>
      <c r="J1065" t="s">
        <v>288</v>
      </c>
      <c r="K1065" s="2">
        <v>53</v>
      </c>
      <c r="L1065">
        <v>30</v>
      </c>
      <c r="M1065">
        <f t="shared" si="16"/>
        <v>1590</v>
      </c>
    </row>
    <row r="1066" spans="1:13">
      <c r="A1066" t="s">
        <v>286</v>
      </c>
      <c r="B1066" t="s">
        <v>287</v>
      </c>
      <c r="C1066" s="1">
        <v>39694</v>
      </c>
      <c r="D1066" t="s">
        <v>147</v>
      </c>
      <c r="E1066" t="s">
        <v>89</v>
      </c>
      <c r="F1066" t="s">
        <v>51</v>
      </c>
      <c r="G1066" t="s">
        <v>17</v>
      </c>
      <c r="H1066" t="s">
        <v>114</v>
      </c>
      <c r="J1066" t="s">
        <v>288</v>
      </c>
      <c r="K1066" s="2">
        <v>26.6</v>
      </c>
      <c r="L1066">
        <v>30</v>
      </c>
      <c r="M1066">
        <f t="shared" si="16"/>
        <v>798</v>
      </c>
    </row>
    <row r="1067" spans="1:13">
      <c r="A1067" t="s">
        <v>286</v>
      </c>
      <c r="B1067" t="s">
        <v>287</v>
      </c>
      <c r="C1067" s="1">
        <v>39639</v>
      </c>
      <c r="D1067" t="s">
        <v>179</v>
      </c>
      <c r="E1067" t="s">
        <v>66</v>
      </c>
      <c r="F1067" t="s">
        <v>47</v>
      </c>
      <c r="G1067" t="s">
        <v>17</v>
      </c>
      <c r="H1067" t="s">
        <v>114</v>
      </c>
      <c r="J1067" t="s">
        <v>288</v>
      </c>
      <c r="K1067" s="2">
        <v>8</v>
      </c>
      <c r="L1067">
        <v>21</v>
      </c>
      <c r="M1067">
        <f t="shared" si="16"/>
        <v>168</v>
      </c>
    </row>
    <row r="1068" spans="1:13">
      <c r="A1068" t="s">
        <v>286</v>
      </c>
      <c r="B1068" t="s">
        <v>287</v>
      </c>
      <c r="C1068" s="1">
        <v>39639</v>
      </c>
      <c r="D1068" t="s">
        <v>148</v>
      </c>
      <c r="E1068" t="s">
        <v>66</v>
      </c>
      <c r="F1068" t="s">
        <v>16</v>
      </c>
      <c r="G1068" t="s">
        <v>17</v>
      </c>
      <c r="H1068" t="s">
        <v>114</v>
      </c>
      <c r="J1068" t="s">
        <v>288</v>
      </c>
      <c r="K1068" s="2">
        <v>19.2</v>
      </c>
      <c r="L1068">
        <v>21</v>
      </c>
      <c r="M1068">
        <f t="shared" si="16"/>
        <v>403.2</v>
      </c>
    </row>
    <row r="1069" spans="1:13">
      <c r="A1069" t="s">
        <v>289</v>
      </c>
      <c r="B1069" t="s">
        <v>290</v>
      </c>
      <c r="C1069" s="1">
        <v>40100</v>
      </c>
      <c r="D1069" t="s">
        <v>100</v>
      </c>
      <c r="E1069" t="s">
        <v>89</v>
      </c>
      <c r="F1069" t="s">
        <v>101</v>
      </c>
      <c r="G1069" t="s">
        <v>17</v>
      </c>
      <c r="H1069" t="s">
        <v>141</v>
      </c>
      <c r="J1069" t="s">
        <v>291</v>
      </c>
      <c r="K1069" s="2">
        <v>12.75</v>
      </c>
      <c r="L1069">
        <v>24</v>
      </c>
      <c r="M1069">
        <f t="shared" si="16"/>
        <v>306</v>
      </c>
    </row>
    <row r="1070" spans="1:13">
      <c r="A1070" t="s">
        <v>289</v>
      </c>
      <c r="B1070" t="s">
        <v>290</v>
      </c>
      <c r="C1070" s="1">
        <v>40044</v>
      </c>
      <c r="D1070" t="s">
        <v>131</v>
      </c>
      <c r="E1070" t="s">
        <v>89</v>
      </c>
      <c r="F1070" t="s">
        <v>132</v>
      </c>
      <c r="G1070" t="s">
        <v>17</v>
      </c>
      <c r="H1070" t="s">
        <v>141</v>
      </c>
      <c r="J1070" t="s">
        <v>291</v>
      </c>
      <c r="K1070" s="2">
        <v>21</v>
      </c>
      <c r="L1070">
        <v>10</v>
      </c>
      <c r="M1070">
        <f t="shared" si="16"/>
        <v>210</v>
      </c>
    </row>
    <row r="1071" spans="1:13">
      <c r="A1071" t="s">
        <v>289</v>
      </c>
      <c r="B1071" t="s">
        <v>290</v>
      </c>
      <c r="C1071" s="1">
        <v>40100</v>
      </c>
      <c r="D1071" t="s">
        <v>98</v>
      </c>
      <c r="E1071" t="s">
        <v>89</v>
      </c>
      <c r="F1071" t="s">
        <v>99</v>
      </c>
      <c r="G1071" t="s">
        <v>17</v>
      </c>
      <c r="H1071" t="s">
        <v>141</v>
      </c>
      <c r="J1071" t="s">
        <v>291</v>
      </c>
      <c r="K1071" s="2">
        <v>4.5</v>
      </c>
      <c r="L1071">
        <v>35</v>
      </c>
      <c r="M1071">
        <f t="shared" si="16"/>
        <v>157.5</v>
      </c>
    </row>
    <row r="1072" spans="1:13">
      <c r="A1072" t="s">
        <v>289</v>
      </c>
      <c r="B1072" t="s">
        <v>290</v>
      </c>
      <c r="C1072" s="1">
        <v>40044</v>
      </c>
      <c r="D1072" t="s">
        <v>62</v>
      </c>
      <c r="E1072" t="s">
        <v>89</v>
      </c>
      <c r="F1072" t="s">
        <v>63</v>
      </c>
      <c r="G1072" t="s">
        <v>17</v>
      </c>
      <c r="H1072" t="s">
        <v>141</v>
      </c>
      <c r="J1072" t="s">
        <v>291</v>
      </c>
      <c r="K1072" s="2">
        <v>38</v>
      </c>
      <c r="L1072">
        <v>60</v>
      </c>
      <c r="M1072">
        <f t="shared" si="16"/>
        <v>2280</v>
      </c>
    </row>
    <row r="1073" spans="1:13">
      <c r="A1073" t="s">
        <v>289</v>
      </c>
      <c r="B1073" t="s">
        <v>290</v>
      </c>
      <c r="C1073" s="1">
        <v>40061</v>
      </c>
      <c r="D1073" t="s">
        <v>137</v>
      </c>
      <c r="E1073" t="s">
        <v>50</v>
      </c>
      <c r="F1073" t="s">
        <v>76</v>
      </c>
      <c r="G1073" t="s">
        <v>17</v>
      </c>
      <c r="H1073" t="s">
        <v>141</v>
      </c>
      <c r="J1073" t="s">
        <v>291</v>
      </c>
      <c r="K1073" s="2">
        <v>12.5</v>
      </c>
      <c r="L1073">
        <v>20</v>
      </c>
      <c r="M1073">
        <f t="shared" si="16"/>
        <v>250</v>
      </c>
    </row>
    <row r="1074" spans="1:13">
      <c r="A1074" t="s">
        <v>289</v>
      </c>
      <c r="B1074" t="s">
        <v>290</v>
      </c>
      <c r="C1074" s="1">
        <v>39695</v>
      </c>
      <c r="D1074" t="s">
        <v>75</v>
      </c>
      <c r="E1074" t="s">
        <v>66</v>
      </c>
      <c r="F1074" t="s">
        <v>76</v>
      </c>
      <c r="G1074" t="s">
        <v>17</v>
      </c>
      <c r="H1074" t="s">
        <v>141</v>
      </c>
      <c r="J1074" t="s">
        <v>291</v>
      </c>
      <c r="K1074" s="2">
        <v>27.8</v>
      </c>
      <c r="L1074">
        <v>42</v>
      </c>
      <c r="M1074">
        <f t="shared" si="16"/>
        <v>1167.6000000000001</v>
      </c>
    </row>
    <row r="1075" spans="1:13">
      <c r="A1075" t="s">
        <v>289</v>
      </c>
      <c r="B1075" t="s">
        <v>290</v>
      </c>
      <c r="C1075" s="1">
        <v>39695</v>
      </c>
      <c r="D1075" t="s">
        <v>86</v>
      </c>
      <c r="E1075" t="s">
        <v>66</v>
      </c>
      <c r="F1075" t="s">
        <v>54</v>
      </c>
      <c r="G1075" t="s">
        <v>17</v>
      </c>
      <c r="H1075" t="s">
        <v>141</v>
      </c>
      <c r="J1075" t="s">
        <v>291</v>
      </c>
      <c r="K1075" s="2">
        <v>27.2</v>
      </c>
      <c r="L1075">
        <v>70</v>
      </c>
      <c r="M1075">
        <f t="shared" si="16"/>
        <v>1904</v>
      </c>
    </row>
    <row r="1076" spans="1:13">
      <c r="A1076" t="s">
        <v>289</v>
      </c>
      <c r="B1076" t="s">
        <v>290</v>
      </c>
      <c r="C1076" s="1">
        <v>39695</v>
      </c>
      <c r="D1076" t="s">
        <v>55</v>
      </c>
      <c r="E1076" t="s">
        <v>66</v>
      </c>
      <c r="F1076" t="s">
        <v>56</v>
      </c>
      <c r="G1076" t="s">
        <v>17</v>
      </c>
      <c r="H1076" t="s">
        <v>141</v>
      </c>
      <c r="J1076" t="s">
        <v>291</v>
      </c>
      <c r="K1076" s="2">
        <v>210.8</v>
      </c>
      <c r="L1076">
        <v>40</v>
      </c>
      <c r="M1076">
        <f t="shared" si="16"/>
        <v>8432</v>
      </c>
    </row>
    <row r="1077" spans="1:13">
      <c r="A1077" t="s">
        <v>289</v>
      </c>
      <c r="B1077" t="s">
        <v>290</v>
      </c>
      <c r="C1077" s="1">
        <v>40044</v>
      </c>
      <c r="D1077" t="s">
        <v>169</v>
      </c>
      <c r="E1077" t="s">
        <v>89</v>
      </c>
      <c r="F1077" t="s">
        <v>97</v>
      </c>
      <c r="G1077" t="s">
        <v>17</v>
      </c>
      <c r="H1077" t="s">
        <v>141</v>
      </c>
      <c r="J1077" t="s">
        <v>291</v>
      </c>
      <c r="K1077" s="2">
        <v>16.25</v>
      </c>
      <c r="L1077">
        <v>25</v>
      </c>
      <c r="M1077">
        <f t="shared" si="16"/>
        <v>406.25</v>
      </c>
    </row>
    <row r="1078" spans="1:13">
      <c r="A1078" t="s">
        <v>289</v>
      </c>
      <c r="B1078" t="s">
        <v>290</v>
      </c>
      <c r="C1078" s="1">
        <v>40100</v>
      </c>
      <c r="D1078" t="s">
        <v>26</v>
      </c>
      <c r="E1078" t="s">
        <v>89</v>
      </c>
      <c r="F1078" t="s">
        <v>27</v>
      </c>
      <c r="G1078" t="s">
        <v>17</v>
      </c>
      <c r="H1078" t="s">
        <v>141</v>
      </c>
      <c r="J1078" t="s">
        <v>291</v>
      </c>
      <c r="K1078" s="2">
        <v>22</v>
      </c>
      <c r="L1078">
        <v>6</v>
      </c>
      <c r="M1078">
        <f t="shared" si="16"/>
        <v>132</v>
      </c>
    </row>
    <row r="1079" spans="1:13">
      <c r="A1079" t="s">
        <v>289</v>
      </c>
      <c r="B1079" t="s">
        <v>290</v>
      </c>
      <c r="C1079" s="1">
        <v>39898</v>
      </c>
      <c r="D1079" t="s">
        <v>64</v>
      </c>
      <c r="E1079" t="s">
        <v>53</v>
      </c>
      <c r="F1079" t="s">
        <v>35</v>
      </c>
      <c r="G1079" t="s">
        <v>17</v>
      </c>
      <c r="H1079" t="s">
        <v>141</v>
      </c>
      <c r="J1079" t="s">
        <v>291</v>
      </c>
      <c r="K1079" s="2">
        <v>7.3</v>
      </c>
      <c r="L1079">
        <v>5</v>
      </c>
      <c r="M1079">
        <f t="shared" si="16"/>
        <v>36.5</v>
      </c>
    </row>
    <row r="1080" spans="1:13">
      <c r="A1080" t="s">
        <v>289</v>
      </c>
      <c r="B1080" t="s">
        <v>290</v>
      </c>
      <c r="C1080" s="1">
        <v>39820</v>
      </c>
      <c r="D1080" t="s">
        <v>77</v>
      </c>
      <c r="E1080" t="s">
        <v>50</v>
      </c>
      <c r="F1080" t="s">
        <v>51</v>
      </c>
      <c r="G1080" t="s">
        <v>17</v>
      </c>
      <c r="H1080" t="s">
        <v>141</v>
      </c>
      <c r="J1080" t="s">
        <v>291</v>
      </c>
      <c r="K1080" s="2">
        <v>36.4</v>
      </c>
      <c r="L1080">
        <v>42</v>
      </c>
      <c r="M1080">
        <f t="shared" si="16"/>
        <v>1528.8</v>
      </c>
    </row>
    <row r="1081" spans="1:13">
      <c r="A1081" t="s">
        <v>289</v>
      </c>
      <c r="B1081" t="s">
        <v>290</v>
      </c>
      <c r="C1081" s="1">
        <v>39695</v>
      </c>
      <c r="D1081" t="s">
        <v>136</v>
      </c>
      <c r="E1081" t="s">
        <v>66</v>
      </c>
      <c r="F1081" t="s">
        <v>35</v>
      </c>
      <c r="G1081" t="s">
        <v>17</v>
      </c>
      <c r="H1081" t="s">
        <v>141</v>
      </c>
      <c r="J1081" t="s">
        <v>291</v>
      </c>
      <c r="K1081" s="2">
        <v>64.8</v>
      </c>
      <c r="L1081">
        <v>12</v>
      </c>
      <c r="M1081">
        <f t="shared" si="16"/>
        <v>777.59999999999991</v>
      </c>
    </row>
    <row r="1082" spans="1:13">
      <c r="A1082" t="s">
        <v>289</v>
      </c>
      <c r="B1082" t="s">
        <v>290</v>
      </c>
      <c r="C1082" s="1">
        <v>39820</v>
      </c>
      <c r="D1082" t="s">
        <v>185</v>
      </c>
      <c r="E1082" t="s">
        <v>50</v>
      </c>
      <c r="F1082" t="s">
        <v>134</v>
      </c>
      <c r="G1082" t="s">
        <v>17</v>
      </c>
      <c r="H1082" t="s">
        <v>141</v>
      </c>
      <c r="J1082" t="s">
        <v>291</v>
      </c>
      <c r="K1082" s="2">
        <v>14.7</v>
      </c>
      <c r="L1082">
        <v>2</v>
      </c>
      <c r="M1082">
        <f t="shared" si="16"/>
        <v>29.4</v>
      </c>
    </row>
    <row r="1083" spans="1:13">
      <c r="A1083" t="s">
        <v>289</v>
      </c>
      <c r="B1083" t="s">
        <v>290</v>
      </c>
      <c r="C1083" s="1">
        <v>39898</v>
      </c>
      <c r="D1083" t="s">
        <v>14</v>
      </c>
      <c r="E1083" t="s">
        <v>53</v>
      </c>
      <c r="F1083" t="s">
        <v>16</v>
      </c>
      <c r="G1083" t="s">
        <v>17</v>
      </c>
      <c r="H1083" t="s">
        <v>141</v>
      </c>
      <c r="J1083" t="s">
        <v>291</v>
      </c>
      <c r="K1083" s="2">
        <v>5.9</v>
      </c>
      <c r="L1083">
        <v>24</v>
      </c>
      <c r="M1083">
        <f t="shared" si="16"/>
        <v>141.60000000000002</v>
      </c>
    </row>
    <row r="1084" spans="1:13">
      <c r="A1084" t="s">
        <v>289</v>
      </c>
      <c r="B1084" t="s">
        <v>290</v>
      </c>
      <c r="C1084" s="1">
        <v>39820</v>
      </c>
      <c r="D1084" t="s">
        <v>57</v>
      </c>
      <c r="E1084" t="s">
        <v>50</v>
      </c>
      <c r="F1084" t="s">
        <v>58</v>
      </c>
      <c r="G1084" t="s">
        <v>17</v>
      </c>
      <c r="H1084" t="s">
        <v>141</v>
      </c>
      <c r="J1084" t="s">
        <v>291</v>
      </c>
      <c r="K1084" s="2">
        <v>15.2</v>
      </c>
      <c r="L1084">
        <v>5</v>
      </c>
      <c r="M1084">
        <f t="shared" si="16"/>
        <v>76</v>
      </c>
    </row>
    <row r="1085" spans="1:13">
      <c r="A1085" t="s">
        <v>289</v>
      </c>
      <c r="B1085" t="s">
        <v>290</v>
      </c>
      <c r="C1085" s="1">
        <v>39820</v>
      </c>
      <c r="D1085" t="s">
        <v>111</v>
      </c>
      <c r="E1085" t="s">
        <v>50</v>
      </c>
      <c r="F1085" t="s">
        <v>37</v>
      </c>
      <c r="G1085" t="s">
        <v>17</v>
      </c>
      <c r="H1085" t="s">
        <v>141</v>
      </c>
      <c r="J1085" t="s">
        <v>291</v>
      </c>
      <c r="K1085" s="2">
        <v>14.4</v>
      </c>
      <c r="L1085">
        <v>10</v>
      </c>
      <c r="M1085">
        <f t="shared" si="16"/>
        <v>144</v>
      </c>
    </row>
    <row r="1086" spans="1:13">
      <c r="A1086" t="s">
        <v>289</v>
      </c>
      <c r="B1086" t="s">
        <v>290</v>
      </c>
      <c r="C1086" s="1">
        <v>39504</v>
      </c>
      <c r="D1086" t="s">
        <v>26</v>
      </c>
      <c r="E1086" t="s">
        <v>24</v>
      </c>
      <c r="F1086" t="s">
        <v>27</v>
      </c>
      <c r="G1086" t="s">
        <v>39</v>
      </c>
      <c r="H1086" t="s">
        <v>141</v>
      </c>
      <c r="J1086" t="s">
        <v>291</v>
      </c>
      <c r="K1086" s="2">
        <v>22</v>
      </c>
      <c r="L1086">
        <v>30</v>
      </c>
      <c r="M1086">
        <f t="shared" si="16"/>
        <v>660</v>
      </c>
    </row>
    <row r="1087" spans="1:13">
      <c r="A1087" t="s">
        <v>289</v>
      </c>
      <c r="B1087" t="s">
        <v>290</v>
      </c>
      <c r="C1087" s="1">
        <v>39820</v>
      </c>
      <c r="D1087" t="s">
        <v>34</v>
      </c>
      <c r="E1087" t="s">
        <v>50</v>
      </c>
      <c r="F1087" t="s">
        <v>35</v>
      </c>
      <c r="G1087" t="s">
        <v>17</v>
      </c>
      <c r="H1087" t="s">
        <v>141</v>
      </c>
      <c r="J1087" t="s">
        <v>291</v>
      </c>
      <c r="K1087" s="2">
        <v>8</v>
      </c>
      <c r="L1087">
        <v>30</v>
      </c>
      <c r="M1087">
        <f t="shared" si="16"/>
        <v>240</v>
      </c>
    </row>
    <row r="1088" spans="1:13">
      <c r="A1088" t="s">
        <v>289</v>
      </c>
      <c r="B1088" t="s">
        <v>290</v>
      </c>
      <c r="C1088" s="1">
        <v>39898</v>
      </c>
      <c r="D1088" t="s">
        <v>30</v>
      </c>
      <c r="E1088" t="s">
        <v>53</v>
      </c>
      <c r="F1088" t="s">
        <v>31</v>
      </c>
      <c r="G1088" t="s">
        <v>17</v>
      </c>
      <c r="H1088" t="s">
        <v>141</v>
      </c>
      <c r="J1088" t="s">
        <v>291</v>
      </c>
      <c r="K1088" s="2">
        <v>24.9</v>
      </c>
      <c r="L1088">
        <v>30</v>
      </c>
      <c r="M1088">
        <f t="shared" si="16"/>
        <v>747</v>
      </c>
    </row>
    <row r="1089" spans="1:13">
      <c r="A1089" t="s">
        <v>289</v>
      </c>
      <c r="B1089" t="s">
        <v>290</v>
      </c>
      <c r="C1089" s="1">
        <v>39504</v>
      </c>
      <c r="D1089" t="s">
        <v>40</v>
      </c>
      <c r="E1089" t="s">
        <v>24</v>
      </c>
      <c r="F1089" t="s">
        <v>41</v>
      </c>
      <c r="G1089" t="s">
        <v>39</v>
      </c>
      <c r="H1089" t="s">
        <v>141</v>
      </c>
      <c r="J1089" t="s">
        <v>291</v>
      </c>
      <c r="K1089" s="2">
        <v>2.5</v>
      </c>
      <c r="L1089">
        <v>40</v>
      </c>
      <c r="M1089">
        <f t="shared" si="16"/>
        <v>100</v>
      </c>
    </row>
    <row r="1090" spans="1:13">
      <c r="A1090" t="s">
        <v>289</v>
      </c>
      <c r="B1090" t="s">
        <v>290</v>
      </c>
      <c r="C1090" s="1">
        <v>39482</v>
      </c>
      <c r="D1090" t="s">
        <v>119</v>
      </c>
      <c r="E1090" t="s">
        <v>50</v>
      </c>
      <c r="F1090" t="s">
        <v>97</v>
      </c>
      <c r="G1090" t="s">
        <v>39</v>
      </c>
      <c r="H1090" t="s">
        <v>141</v>
      </c>
      <c r="J1090" t="s">
        <v>291</v>
      </c>
      <c r="K1090" s="2">
        <v>20</v>
      </c>
      <c r="L1090">
        <v>42</v>
      </c>
      <c r="M1090">
        <f t="shared" si="16"/>
        <v>840</v>
      </c>
    </row>
    <row r="1091" spans="1:13">
      <c r="A1091" t="s">
        <v>289</v>
      </c>
      <c r="B1091" t="s">
        <v>290</v>
      </c>
      <c r="C1091" s="1">
        <v>40061</v>
      </c>
      <c r="D1091" t="s">
        <v>116</v>
      </c>
      <c r="E1091" t="s">
        <v>50</v>
      </c>
      <c r="F1091" t="s">
        <v>22</v>
      </c>
      <c r="G1091" t="s">
        <v>17</v>
      </c>
      <c r="H1091" t="s">
        <v>141</v>
      </c>
      <c r="J1091" t="s">
        <v>291</v>
      </c>
      <c r="K1091" s="2">
        <v>15</v>
      </c>
      <c r="L1091">
        <v>40</v>
      </c>
      <c r="M1091">
        <f t="shared" ref="M1091:M1154" si="17">K1091*L1091</f>
        <v>600</v>
      </c>
    </row>
    <row r="1092" spans="1:13">
      <c r="A1092" t="s">
        <v>289</v>
      </c>
      <c r="B1092" t="s">
        <v>290</v>
      </c>
      <c r="C1092" s="1">
        <v>40061</v>
      </c>
      <c r="D1092" t="s">
        <v>185</v>
      </c>
      <c r="E1092" t="s">
        <v>50</v>
      </c>
      <c r="F1092" t="s">
        <v>134</v>
      </c>
      <c r="G1092" t="s">
        <v>17</v>
      </c>
      <c r="H1092" t="s">
        <v>141</v>
      </c>
      <c r="J1092" t="s">
        <v>291</v>
      </c>
      <c r="K1092" s="2">
        <v>18.399999999999999</v>
      </c>
      <c r="L1092">
        <v>24</v>
      </c>
      <c r="M1092">
        <f t="shared" si="17"/>
        <v>441.59999999999997</v>
      </c>
    </row>
    <row r="1093" spans="1:13">
      <c r="A1093" t="s">
        <v>289</v>
      </c>
      <c r="B1093" t="s">
        <v>290</v>
      </c>
      <c r="C1093" s="1">
        <v>39505</v>
      </c>
      <c r="D1093" t="s">
        <v>121</v>
      </c>
      <c r="E1093" t="s">
        <v>89</v>
      </c>
      <c r="F1093" t="s">
        <v>41</v>
      </c>
      <c r="G1093" t="s">
        <v>39</v>
      </c>
      <c r="H1093" t="s">
        <v>141</v>
      </c>
      <c r="J1093" t="s">
        <v>291</v>
      </c>
      <c r="K1093" s="2">
        <v>21.5</v>
      </c>
      <c r="L1093">
        <v>25</v>
      </c>
      <c r="M1093">
        <f t="shared" si="17"/>
        <v>537.5</v>
      </c>
    </row>
    <row r="1094" spans="1:13">
      <c r="A1094" t="s">
        <v>289</v>
      </c>
      <c r="B1094" t="s">
        <v>290</v>
      </c>
      <c r="C1094" s="1">
        <v>39504</v>
      </c>
      <c r="D1094" t="s">
        <v>68</v>
      </c>
      <c r="E1094" t="s">
        <v>24</v>
      </c>
      <c r="F1094" t="s">
        <v>69</v>
      </c>
      <c r="G1094" t="s">
        <v>39</v>
      </c>
      <c r="H1094" t="s">
        <v>141</v>
      </c>
      <c r="J1094" t="s">
        <v>291</v>
      </c>
      <c r="K1094" s="2">
        <v>13.25</v>
      </c>
      <c r="L1094">
        <v>15</v>
      </c>
      <c r="M1094">
        <f t="shared" si="17"/>
        <v>198.75</v>
      </c>
    </row>
    <row r="1095" spans="1:13">
      <c r="A1095" t="s">
        <v>289</v>
      </c>
      <c r="B1095" t="s">
        <v>290</v>
      </c>
      <c r="C1095" s="1">
        <v>39572</v>
      </c>
      <c r="D1095" t="s">
        <v>49</v>
      </c>
      <c r="E1095" t="s">
        <v>67</v>
      </c>
      <c r="F1095" t="s">
        <v>51</v>
      </c>
      <c r="G1095" t="s">
        <v>39</v>
      </c>
      <c r="H1095" t="s">
        <v>141</v>
      </c>
      <c r="J1095" t="s">
        <v>291</v>
      </c>
      <c r="K1095" s="2">
        <v>13</v>
      </c>
      <c r="L1095">
        <v>28</v>
      </c>
      <c r="M1095">
        <f t="shared" si="17"/>
        <v>364</v>
      </c>
    </row>
    <row r="1096" spans="1:13">
      <c r="A1096" t="s">
        <v>289</v>
      </c>
      <c r="B1096" t="s">
        <v>290</v>
      </c>
      <c r="C1096" s="1">
        <v>40075</v>
      </c>
      <c r="D1096" t="s">
        <v>71</v>
      </c>
      <c r="E1096" t="s">
        <v>67</v>
      </c>
      <c r="F1096" t="s">
        <v>51</v>
      </c>
      <c r="G1096" t="s">
        <v>39</v>
      </c>
      <c r="H1096" t="s">
        <v>141</v>
      </c>
      <c r="J1096" t="s">
        <v>291</v>
      </c>
      <c r="K1096" s="2">
        <v>7.75</v>
      </c>
      <c r="L1096">
        <v>42</v>
      </c>
      <c r="M1096">
        <f t="shared" si="17"/>
        <v>325.5</v>
      </c>
    </row>
    <row r="1097" spans="1:13">
      <c r="A1097" t="s">
        <v>289</v>
      </c>
      <c r="B1097" t="s">
        <v>290</v>
      </c>
      <c r="C1097" s="1">
        <v>40075</v>
      </c>
      <c r="D1097" t="s">
        <v>83</v>
      </c>
      <c r="E1097" t="s">
        <v>67</v>
      </c>
      <c r="F1097" t="s">
        <v>84</v>
      </c>
      <c r="G1097" t="s">
        <v>39</v>
      </c>
      <c r="H1097" t="s">
        <v>141</v>
      </c>
      <c r="J1097" t="s">
        <v>291</v>
      </c>
      <c r="K1097" s="2">
        <v>25.89</v>
      </c>
      <c r="L1097">
        <v>15</v>
      </c>
      <c r="M1097">
        <f t="shared" si="17"/>
        <v>388.35</v>
      </c>
    </row>
    <row r="1098" spans="1:13">
      <c r="A1098" t="s">
        <v>289</v>
      </c>
      <c r="B1098" t="s">
        <v>290</v>
      </c>
      <c r="C1098" s="1">
        <v>39572</v>
      </c>
      <c r="D1098" t="s">
        <v>77</v>
      </c>
      <c r="E1098" t="s">
        <v>67</v>
      </c>
      <c r="F1098" t="s">
        <v>51</v>
      </c>
      <c r="G1098" t="s">
        <v>39</v>
      </c>
      <c r="H1098" t="s">
        <v>141</v>
      </c>
      <c r="J1098" t="s">
        <v>291</v>
      </c>
      <c r="K1098" s="2">
        <v>45.6</v>
      </c>
      <c r="L1098">
        <v>8</v>
      </c>
      <c r="M1098">
        <f t="shared" si="17"/>
        <v>364.8</v>
      </c>
    </row>
    <row r="1099" spans="1:13">
      <c r="A1099" t="s">
        <v>289</v>
      </c>
      <c r="B1099" t="s">
        <v>290</v>
      </c>
      <c r="C1099" s="1">
        <v>40090</v>
      </c>
      <c r="D1099" t="s">
        <v>185</v>
      </c>
      <c r="E1099" t="s">
        <v>24</v>
      </c>
      <c r="F1099" t="s">
        <v>134</v>
      </c>
      <c r="G1099" t="s">
        <v>17</v>
      </c>
      <c r="H1099" t="s">
        <v>141</v>
      </c>
      <c r="J1099" t="s">
        <v>291</v>
      </c>
      <c r="K1099" s="2">
        <v>18.399999999999999</v>
      </c>
      <c r="L1099">
        <v>6</v>
      </c>
      <c r="M1099">
        <f t="shared" si="17"/>
        <v>110.39999999999999</v>
      </c>
    </row>
    <row r="1100" spans="1:13">
      <c r="A1100" t="s">
        <v>289</v>
      </c>
      <c r="B1100" t="s">
        <v>290</v>
      </c>
      <c r="C1100" s="1">
        <v>39482</v>
      </c>
      <c r="D1100" t="s">
        <v>44</v>
      </c>
      <c r="E1100" t="s">
        <v>50</v>
      </c>
      <c r="F1100" t="s">
        <v>45</v>
      </c>
      <c r="G1100" t="s">
        <v>39</v>
      </c>
      <c r="H1100" t="s">
        <v>141</v>
      </c>
      <c r="J1100" t="s">
        <v>291</v>
      </c>
      <c r="K1100" s="2">
        <v>18</v>
      </c>
      <c r="L1100">
        <v>30</v>
      </c>
      <c r="M1100">
        <f t="shared" si="17"/>
        <v>540</v>
      </c>
    </row>
    <row r="1101" spans="1:13">
      <c r="A1101" t="s">
        <v>289</v>
      </c>
      <c r="B1101" t="s">
        <v>290</v>
      </c>
      <c r="C1101" s="1">
        <v>39526</v>
      </c>
      <c r="D1101" t="s">
        <v>120</v>
      </c>
      <c r="E1101" t="s">
        <v>67</v>
      </c>
      <c r="F1101" t="s">
        <v>33</v>
      </c>
      <c r="G1101" t="s">
        <v>39</v>
      </c>
      <c r="H1101" t="s">
        <v>141</v>
      </c>
      <c r="J1101" t="s">
        <v>291</v>
      </c>
      <c r="K1101" s="2">
        <v>7</v>
      </c>
      <c r="L1101">
        <v>6</v>
      </c>
      <c r="M1101">
        <f t="shared" si="17"/>
        <v>42</v>
      </c>
    </row>
    <row r="1102" spans="1:13">
      <c r="A1102" t="s">
        <v>289</v>
      </c>
      <c r="B1102" t="s">
        <v>290</v>
      </c>
      <c r="C1102" s="1">
        <v>39526</v>
      </c>
      <c r="D1102" t="s">
        <v>96</v>
      </c>
      <c r="E1102" t="s">
        <v>67</v>
      </c>
      <c r="F1102" t="s">
        <v>97</v>
      </c>
      <c r="G1102" t="s">
        <v>39</v>
      </c>
      <c r="H1102" t="s">
        <v>141</v>
      </c>
      <c r="J1102" t="s">
        <v>291</v>
      </c>
      <c r="K1102" s="2">
        <v>18</v>
      </c>
      <c r="L1102">
        <v>60</v>
      </c>
      <c r="M1102">
        <f t="shared" si="17"/>
        <v>1080</v>
      </c>
    </row>
    <row r="1103" spans="1:13">
      <c r="A1103" t="s">
        <v>289</v>
      </c>
      <c r="B1103" t="s">
        <v>290</v>
      </c>
      <c r="C1103" s="1">
        <v>40090</v>
      </c>
      <c r="D1103" t="s">
        <v>86</v>
      </c>
      <c r="E1103" t="s">
        <v>24</v>
      </c>
      <c r="F1103" t="s">
        <v>54</v>
      </c>
      <c r="G1103" t="s">
        <v>17</v>
      </c>
      <c r="H1103" t="s">
        <v>141</v>
      </c>
      <c r="J1103" t="s">
        <v>291</v>
      </c>
      <c r="K1103" s="2">
        <v>34</v>
      </c>
      <c r="L1103">
        <v>15</v>
      </c>
      <c r="M1103">
        <f t="shared" si="17"/>
        <v>510</v>
      </c>
    </row>
    <row r="1104" spans="1:13">
      <c r="A1104" t="s">
        <v>289</v>
      </c>
      <c r="B1104" t="s">
        <v>290</v>
      </c>
      <c r="C1104" s="1">
        <v>40090</v>
      </c>
      <c r="D1104" t="s">
        <v>148</v>
      </c>
      <c r="E1104" t="s">
        <v>24</v>
      </c>
      <c r="F1104" t="s">
        <v>16</v>
      </c>
      <c r="G1104" t="s">
        <v>17</v>
      </c>
      <c r="H1104" t="s">
        <v>141</v>
      </c>
      <c r="J1104" t="s">
        <v>291</v>
      </c>
      <c r="K1104" s="2">
        <v>24</v>
      </c>
      <c r="L1104">
        <v>12</v>
      </c>
      <c r="M1104">
        <f t="shared" si="17"/>
        <v>288</v>
      </c>
    </row>
    <row r="1105" spans="1:13">
      <c r="A1105" t="s">
        <v>289</v>
      </c>
      <c r="B1105" t="s">
        <v>290</v>
      </c>
      <c r="C1105" s="1">
        <v>39572</v>
      </c>
      <c r="D1105" t="s">
        <v>94</v>
      </c>
      <c r="E1105" t="s">
        <v>67</v>
      </c>
      <c r="F1105" t="s">
        <v>74</v>
      </c>
      <c r="G1105" t="s">
        <v>39</v>
      </c>
      <c r="H1105" t="s">
        <v>141</v>
      </c>
      <c r="J1105" t="s">
        <v>291</v>
      </c>
      <c r="K1105" s="2">
        <v>46</v>
      </c>
      <c r="L1105">
        <v>36</v>
      </c>
      <c r="M1105">
        <f t="shared" si="17"/>
        <v>1656</v>
      </c>
    </row>
    <row r="1106" spans="1:13">
      <c r="A1106" t="s">
        <v>289</v>
      </c>
      <c r="B1106" t="s">
        <v>290</v>
      </c>
      <c r="C1106" s="1">
        <v>39482</v>
      </c>
      <c r="D1106" t="s">
        <v>30</v>
      </c>
      <c r="E1106" t="s">
        <v>50</v>
      </c>
      <c r="F1106" t="s">
        <v>31</v>
      </c>
      <c r="G1106" t="s">
        <v>39</v>
      </c>
      <c r="H1106" t="s">
        <v>141</v>
      </c>
      <c r="J1106" t="s">
        <v>291</v>
      </c>
      <c r="K1106" s="2">
        <v>31.23</v>
      </c>
      <c r="L1106">
        <v>20</v>
      </c>
      <c r="M1106">
        <f t="shared" si="17"/>
        <v>624.6</v>
      </c>
    </row>
    <row r="1107" spans="1:13">
      <c r="A1107" t="s">
        <v>289</v>
      </c>
      <c r="B1107" t="s">
        <v>290</v>
      </c>
      <c r="C1107" s="1">
        <v>40090</v>
      </c>
      <c r="D1107" t="s">
        <v>83</v>
      </c>
      <c r="E1107" t="s">
        <v>24</v>
      </c>
      <c r="F1107" t="s">
        <v>84</v>
      </c>
      <c r="G1107" t="s">
        <v>17</v>
      </c>
      <c r="H1107" t="s">
        <v>141</v>
      </c>
      <c r="J1107" t="s">
        <v>291</v>
      </c>
      <c r="K1107" s="2">
        <v>25.89</v>
      </c>
      <c r="L1107">
        <v>15</v>
      </c>
      <c r="M1107">
        <f t="shared" si="17"/>
        <v>388.35</v>
      </c>
    </row>
    <row r="1108" spans="1:13">
      <c r="A1108" t="s">
        <v>289</v>
      </c>
      <c r="B1108" t="s">
        <v>290</v>
      </c>
      <c r="C1108" s="1">
        <v>40075</v>
      </c>
      <c r="D1108" t="s">
        <v>23</v>
      </c>
      <c r="E1108" t="s">
        <v>67</v>
      </c>
      <c r="F1108" t="s">
        <v>25</v>
      </c>
      <c r="G1108" t="s">
        <v>39</v>
      </c>
      <c r="H1108" t="s">
        <v>141</v>
      </c>
      <c r="J1108" t="s">
        <v>291</v>
      </c>
      <c r="K1108" s="2">
        <v>40</v>
      </c>
      <c r="L1108">
        <v>30</v>
      </c>
      <c r="M1108">
        <f t="shared" si="17"/>
        <v>1200</v>
      </c>
    </row>
    <row r="1109" spans="1:13">
      <c r="A1109" t="s">
        <v>292</v>
      </c>
      <c r="B1109" t="s">
        <v>293</v>
      </c>
      <c r="C1109" s="1">
        <v>40085</v>
      </c>
      <c r="D1109" t="s">
        <v>102</v>
      </c>
      <c r="E1109" t="s">
        <v>24</v>
      </c>
      <c r="F1109" t="s">
        <v>47</v>
      </c>
      <c r="G1109" t="s">
        <v>17</v>
      </c>
      <c r="H1109" t="s">
        <v>158</v>
      </c>
      <c r="I1109" t="s">
        <v>203</v>
      </c>
      <c r="J1109" t="s">
        <v>294</v>
      </c>
      <c r="K1109" s="2">
        <v>31</v>
      </c>
      <c r="L1109">
        <v>20</v>
      </c>
      <c r="M1109">
        <f t="shared" si="17"/>
        <v>620</v>
      </c>
    </row>
    <row r="1110" spans="1:13">
      <c r="A1110" t="s">
        <v>292</v>
      </c>
      <c r="B1110" t="s">
        <v>293</v>
      </c>
      <c r="C1110" s="1">
        <v>40057</v>
      </c>
      <c r="D1110" t="s">
        <v>110</v>
      </c>
      <c r="E1110" t="s">
        <v>24</v>
      </c>
      <c r="F1110" t="s">
        <v>74</v>
      </c>
      <c r="G1110" t="s">
        <v>17</v>
      </c>
      <c r="H1110" t="s">
        <v>158</v>
      </c>
      <c r="I1110" t="s">
        <v>203</v>
      </c>
      <c r="J1110" t="s">
        <v>294</v>
      </c>
      <c r="K1110" s="2">
        <v>14</v>
      </c>
      <c r="L1110">
        <v>20</v>
      </c>
      <c r="M1110">
        <f t="shared" si="17"/>
        <v>280</v>
      </c>
    </row>
    <row r="1111" spans="1:13">
      <c r="A1111" t="s">
        <v>292</v>
      </c>
      <c r="B1111" t="s">
        <v>293</v>
      </c>
      <c r="C1111" s="1">
        <v>39836</v>
      </c>
      <c r="D1111" t="s">
        <v>52</v>
      </c>
      <c r="E1111" t="s">
        <v>89</v>
      </c>
      <c r="F1111" t="s">
        <v>54</v>
      </c>
      <c r="G1111" t="s">
        <v>17</v>
      </c>
      <c r="H1111" t="s">
        <v>158</v>
      </c>
      <c r="I1111" t="s">
        <v>203</v>
      </c>
      <c r="J1111" t="s">
        <v>294</v>
      </c>
      <c r="K1111" s="2">
        <v>44</v>
      </c>
      <c r="L1111">
        <v>20</v>
      </c>
      <c r="M1111">
        <f t="shared" si="17"/>
        <v>880</v>
      </c>
    </row>
    <row r="1112" spans="1:13">
      <c r="A1112" t="s">
        <v>292</v>
      </c>
      <c r="B1112" t="s">
        <v>293</v>
      </c>
      <c r="C1112" s="1">
        <v>40057</v>
      </c>
      <c r="D1112" t="s">
        <v>83</v>
      </c>
      <c r="E1112" t="s">
        <v>24</v>
      </c>
      <c r="F1112" t="s">
        <v>84</v>
      </c>
      <c r="G1112" t="s">
        <v>17</v>
      </c>
      <c r="H1112" t="s">
        <v>158</v>
      </c>
      <c r="I1112" t="s">
        <v>203</v>
      </c>
      <c r="J1112" t="s">
        <v>294</v>
      </c>
      <c r="K1112" s="2">
        <v>25.89</v>
      </c>
      <c r="L1112">
        <v>2</v>
      </c>
      <c r="M1112">
        <f t="shared" si="17"/>
        <v>51.78</v>
      </c>
    </row>
    <row r="1113" spans="1:13">
      <c r="A1113" t="s">
        <v>292</v>
      </c>
      <c r="B1113" t="s">
        <v>293</v>
      </c>
      <c r="C1113" s="1">
        <v>40103</v>
      </c>
      <c r="D1113" t="s">
        <v>86</v>
      </c>
      <c r="E1113" t="s">
        <v>21</v>
      </c>
      <c r="F1113" t="s">
        <v>54</v>
      </c>
      <c r="G1113" t="s">
        <v>17</v>
      </c>
      <c r="H1113" t="s">
        <v>158</v>
      </c>
      <c r="I1113" t="s">
        <v>203</v>
      </c>
      <c r="J1113" t="s">
        <v>294</v>
      </c>
      <c r="K1113" s="2">
        <v>34</v>
      </c>
      <c r="L1113">
        <v>10</v>
      </c>
      <c r="M1113">
        <f t="shared" si="17"/>
        <v>340</v>
      </c>
    </row>
    <row r="1114" spans="1:13">
      <c r="A1114" t="s">
        <v>292</v>
      </c>
      <c r="B1114" t="s">
        <v>293</v>
      </c>
      <c r="C1114" s="1">
        <v>39525</v>
      </c>
      <c r="D1114" t="s">
        <v>71</v>
      </c>
      <c r="E1114" t="s">
        <v>89</v>
      </c>
      <c r="F1114" t="s">
        <v>51</v>
      </c>
      <c r="G1114" t="s">
        <v>39</v>
      </c>
      <c r="H1114" t="s">
        <v>158</v>
      </c>
      <c r="I1114" t="s">
        <v>203</v>
      </c>
      <c r="J1114" t="s">
        <v>294</v>
      </c>
      <c r="K1114" s="2">
        <v>7.75</v>
      </c>
      <c r="L1114">
        <v>20</v>
      </c>
      <c r="M1114">
        <f t="shared" si="17"/>
        <v>155</v>
      </c>
    </row>
    <row r="1115" spans="1:13">
      <c r="A1115" t="s">
        <v>292</v>
      </c>
      <c r="B1115" t="s">
        <v>293</v>
      </c>
      <c r="C1115" s="1">
        <v>40085</v>
      </c>
      <c r="D1115" t="s">
        <v>133</v>
      </c>
      <c r="E1115" t="s">
        <v>24</v>
      </c>
      <c r="F1115" t="s">
        <v>134</v>
      </c>
      <c r="G1115" t="s">
        <v>17</v>
      </c>
      <c r="H1115" t="s">
        <v>158</v>
      </c>
      <c r="I1115" t="s">
        <v>203</v>
      </c>
      <c r="J1115" t="s">
        <v>294</v>
      </c>
      <c r="K1115" s="2">
        <v>9.65</v>
      </c>
      <c r="L1115">
        <v>4</v>
      </c>
      <c r="M1115">
        <f t="shared" si="17"/>
        <v>38.6</v>
      </c>
    </row>
    <row r="1116" spans="1:13">
      <c r="A1116" t="s">
        <v>292</v>
      </c>
      <c r="B1116" t="s">
        <v>293</v>
      </c>
      <c r="C1116" s="1">
        <v>40093</v>
      </c>
      <c r="D1116" t="s">
        <v>96</v>
      </c>
      <c r="E1116" t="s">
        <v>53</v>
      </c>
      <c r="F1116" t="s">
        <v>97</v>
      </c>
      <c r="G1116" t="s">
        <v>17</v>
      </c>
      <c r="H1116" t="s">
        <v>158</v>
      </c>
      <c r="I1116" t="s">
        <v>203</v>
      </c>
      <c r="J1116" t="s">
        <v>294</v>
      </c>
      <c r="K1116" s="2">
        <v>18</v>
      </c>
      <c r="L1116">
        <v>20</v>
      </c>
      <c r="M1116">
        <f t="shared" si="17"/>
        <v>360</v>
      </c>
    </row>
    <row r="1117" spans="1:13">
      <c r="A1117" t="s">
        <v>292</v>
      </c>
      <c r="B1117" t="s">
        <v>293</v>
      </c>
      <c r="C1117" s="1">
        <v>39836</v>
      </c>
      <c r="D1117" t="s">
        <v>137</v>
      </c>
      <c r="E1117" t="s">
        <v>89</v>
      </c>
      <c r="F1117" t="s">
        <v>76</v>
      </c>
      <c r="G1117" t="s">
        <v>17</v>
      </c>
      <c r="H1117" t="s">
        <v>158</v>
      </c>
      <c r="I1117" t="s">
        <v>203</v>
      </c>
      <c r="J1117" t="s">
        <v>294</v>
      </c>
      <c r="K1117" s="2">
        <v>10</v>
      </c>
      <c r="L1117">
        <v>14</v>
      </c>
      <c r="M1117">
        <f t="shared" si="17"/>
        <v>140</v>
      </c>
    </row>
    <row r="1118" spans="1:13">
      <c r="A1118" t="s">
        <v>292</v>
      </c>
      <c r="B1118" t="s">
        <v>293</v>
      </c>
      <c r="C1118" s="1">
        <v>40071</v>
      </c>
      <c r="D1118" t="s">
        <v>110</v>
      </c>
      <c r="E1118" t="s">
        <v>50</v>
      </c>
      <c r="F1118" t="s">
        <v>74</v>
      </c>
      <c r="G1118" t="s">
        <v>39</v>
      </c>
      <c r="H1118" t="s">
        <v>158</v>
      </c>
      <c r="I1118" t="s">
        <v>203</v>
      </c>
      <c r="J1118" t="s">
        <v>294</v>
      </c>
      <c r="K1118" s="2">
        <v>14</v>
      </c>
      <c r="L1118">
        <v>20</v>
      </c>
      <c r="M1118">
        <f t="shared" si="17"/>
        <v>280</v>
      </c>
    </row>
    <row r="1119" spans="1:13">
      <c r="A1119" t="s">
        <v>292</v>
      </c>
      <c r="B1119" t="s">
        <v>293</v>
      </c>
      <c r="C1119" s="1">
        <v>40103</v>
      </c>
      <c r="D1119" t="s">
        <v>85</v>
      </c>
      <c r="E1119" t="s">
        <v>21</v>
      </c>
      <c r="F1119" t="s">
        <v>33</v>
      </c>
      <c r="G1119" t="s">
        <v>17</v>
      </c>
      <c r="H1119" t="s">
        <v>158</v>
      </c>
      <c r="I1119" t="s">
        <v>203</v>
      </c>
      <c r="J1119" t="s">
        <v>294</v>
      </c>
      <c r="K1119" s="2">
        <v>53</v>
      </c>
      <c r="L1119">
        <v>28</v>
      </c>
      <c r="M1119">
        <f t="shared" si="17"/>
        <v>1484</v>
      </c>
    </row>
    <row r="1120" spans="1:13">
      <c r="A1120" t="s">
        <v>292</v>
      </c>
      <c r="B1120" t="s">
        <v>293</v>
      </c>
      <c r="C1120" s="1">
        <v>40093</v>
      </c>
      <c r="D1120" t="s">
        <v>155</v>
      </c>
      <c r="E1120" t="s">
        <v>53</v>
      </c>
      <c r="F1120" t="s">
        <v>25</v>
      </c>
      <c r="G1120" t="s">
        <v>17</v>
      </c>
      <c r="H1120" t="s">
        <v>158</v>
      </c>
      <c r="I1120" t="s">
        <v>203</v>
      </c>
      <c r="J1120" t="s">
        <v>294</v>
      </c>
      <c r="K1120" s="2">
        <v>25</v>
      </c>
      <c r="L1120">
        <v>30</v>
      </c>
      <c r="M1120">
        <f t="shared" si="17"/>
        <v>750</v>
      </c>
    </row>
    <row r="1121" spans="1:13">
      <c r="A1121" t="s">
        <v>292</v>
      </c>
      <c r="B1121" t="s">
        <v>293</v>
      </c>
      <c r="C1121" s="1">
        <v>39562</v>
      </c>
      <c r="D1121" t="s">
        <v>154</v>
      </c>
      <c r="E1121" t="s">
        <v>15</v>
      </c>
      <c r="F1121" t="s">
        <v>132</v>
      </c>
      <c r="G1121" t="s">
        <v>39</v>
      </c>
      <c r="H1121" t="s">
        <v>158</v>
      </c>
      <c r="I1121" t="s">
        <v>203</v>
      </c>
      <c r="J1121" t="s">
        <v>294</v>
      </c>
      <c r="K1121" s="2">
        <v>38</v>
      </c>
      <c r="L1121">
        <v>4</v>
      </c>
      <c r="M1121">
        <f t="shared" si="17"/>
        <v>152</v>
      </c>
    </row>
    <row r="1122" spans="1:13">
      <c r="A1122" t="s">
        <v>292</v>
      </c>
      <c r="B1122" t="s">
        <v>293</v>
      </c>
      <c r="C1122" s="1">
        <v>39562</v>
      </c>
      <c r="D1122" t="s">
        <v>36</v>
      </c>
      <c r="E1122" t="s">
        <v>15</v>
      </c>
      <c r="F1122" t="s">
        <v>37</v>
      </c>
      <c r="G1122" t="s">
        <v>39</v>
      </c>
      <c r="H1122" t="s">
        <v>158</v>
      </c>
      <c r="I1122" t="s">
        <v>203</v>
      </c>
      <c r="J1122" t="s">
        <v>294</v>
      </c>
      <c r="K1122" s="2">
        <v>19</v>
      </c>
      <c r="L1122">
        <v>10</v>
      </c>
      <c r="M1122">
        <f t="shared" si="17"/>
        <v>190</v>
      </c>
    </row>
    <row r="1123" spans="1:13">
      <c r="A1123" t="s">
        <v>292</v>
      </c>
      <c r="B1123" t="s">
        <v>293</v>
      </c>
      <c r="C1123" s="1">
        <v>40078</v>
      </c>
      <c r="D1123" t="s">
        <v>62</v>
      </c>
      <c r="E1123" t="s">
        <v>89</v>
      </c>
      <c r="F1123" t="s">
        <v>63</v>
      </c>
      <c r="G1123" t="s">
        <v>39</v>
      </c>
      <c r="H1123" t="s">
        <v>158</v>
      </c>
      <c r="I1123" t="s">
        <v>203</v>
      </c>
      <c r="J1123" t="s">
        <v>294</v>
      </c>
      <c r="K1123" s="2">
        <v>38</v>
      </c>
      <c r="L1123">
        <v>20</v>
      </c>
      <c r="M1123">
        <f t="shared" si="17"/>
        <v>760</v>
      </c>
    </row>
    <row r="1124" spans="1:13">
      <c r="A1124" t="s">
        <v>292</v>
      </c>
      <c r="B1124" t="s">
        <v>293</v>
      </c>
      <c r="C1124" s="1">
        <v>40078</v>
      </c>
      <c r="D1124" t="s">
        <v>87</v>
      </c>
      <c r="E1124" t="s">
        <v>89</v>
      </c>
      <c r="F1124" t="s">
        <v>25</v>
      </c>
      <c r="G1124" t="s">
        <v>39</v>
      </c>
      <c r="H1124" t="s">
        <v>158</v>
      </c>
      <c r="I1124" t="s">
        <v>203</v>
      </c>
      <c r="J1124" t="s">
        <v>294</v>
      </c>
      <c r="K1124" s="2">
        <v>30</v>
      </c>
      <c r="L1124">
        <v>3</v>
      </c>
      <c r="M1124">
        <f t="shared" si="17"/>
        <v>90</v>
      </c>
    </row>
    <row r="1125" spans="1:13">
      <c r="A1125" t="s">
        <v>292</v>
      </c>
      <c r="B1125" t="s">
        <v>293</v>
      </c>
      <c r="C1125" s="1">
        <v>40093</v>
      </c>
      <c r="D1125" t="s">
        <v>83</v>
      </c>
      <c r="E1125" t="s">
        <v>53</v>
      </c>
      <c r="F1125" t="s">
        <v>84</v>
      </c>
      <c r="G1125" t="s">
        <v>17</v>
      </c>
      <c r="H1125" t="s">
        <v>158</v>
      </c>
      <c r="I1125" t="s">
        <v>203</v>
      </c>
      <c r="J1125" t="s">
        <v>294</v>
      </c>
      <c r="K1125" s="2">
        <v>25.89</v>
      </c>
      <c r="L1125">
        <v>15</v>
      </c>
      <c r="M1125">
        <f t="shared" si="17"/>
        <v>388.35</v>
      </c>
    </row>
    <row r="1126" spans="1:13">
      <c r="A1126" t="s">
        <v>292</v>
      </c>
      <c r="B1126" t="s">
        <v>293</v>
      </c>
      <c r="C1126" s="1">
        <v>40103</v>
      </c>
      <c r="D1126" t="s">
        <v>23</v>
      </c>
      <c r="E1126" t="s">
        <v>21</v>
      </c>
      <c r="F1126" t="s">
        <v>25</v>
      </c>
      <c r="G1126" t="s">
        <v>17</v>
      </c>
      <c r="H1126" t="s">
        <v>158</v>
      </c>
      <c r="I1126" t="s">
        <v>203</v>
      </c>
      <c r="J1126" t="s">
        <v>294</v>
      </c>
      <c r="K1126" s="2">
        <v>40</v>
      </c>
      <c r="L1126">
        <v>40</v>
      </c>
      <c r="M1126">
        <f t="shared" si="17"/>
        <v>1600</v>
      </c>
    </row>
    <row r="1127" spans="1:13">
      <c r="A1127" t="s">
        <v>292</v>
      </c>
      <c r="B1127" t="s">
        <v>293</v>
      </c>
      <c r="C1127" s="1">
        <v>40085</v>
      </c>
      <c r="D1127" t="s">
        <v>170</v>
      </c>
      <c r="E1127" t="s">
        <v>24</v>
      </c>
      <c r="F1127" t="s">
        <v>101</v>
      </c>
      <c r="G1127" t="s">
        <v>17</v>
      </c>
      <c r="H1127" t="s">
        <v>158</v>
      </c>
      <c r="I1127" t="s">
        <v>203</v>
      </c>
      <c r="J1127" t="s">
        <v>294</v>
      </c>
      <c r="K1127" s="2">
        <v>9.5</v>
      </c>
      <c r="L1127">
        <v>15</v>
      </c>
      <c r="M1127">
        <f t="shared" si="17"/>
        <v>142.5</v>
      </c>
    </row>
    <row r="1128" spans="1:13">
      <c r="A1128" t="s">
        <v>295</v>
      </c>
      <c r="B1128" t="s">
        <v>296</v>
      </c>
      <c r="C1128" s="1">
        <v>39466</v>
      </c>
      <c r="D1128" t="s">
        <v>122</v>
      </c>
      <c r="E1128" t="s">
        <v>24</v>
      </c>
      <c r="F1128" t="s">
        <v>31</v>
      </c>
      <c r="G1128" t="s">
        <v>39</v>
      </c>
      <c r="H1128" t="s">
        <v>158</v>
      </c>
      <c r="I1128" t="s">
        <v>203</v>
      </c>
      <c r="J1128" t="s">
        <v>254</v>
      </c>
      <c r="K1128" s="2">
        <v>14</v>
      </c>
      <c r="L1128">
        <v>6</v>
      </c>
      <c r="M1128">
        <f t="shared" si="17"/>
        <v>84</v>
      </c>
    </row>
    <row r="1129" spans="1:13">
      <c r="A1129" t="s">
        <v>295</v>
      </c>
      <c r="B1129" t="s">
        <v>296</v>
      </c>
      <c r="C1129" s="1">
        <v>40090</v>
      </c>
      <c r="D1129" t="s">
        <v>111</v>
      </c>
      <c r="E1129" t="s">
        <v>67</v>
      </c>
      <c r="F1129" t="s">
        <v>37</v>
      </c>
      <c r="G1129" t="s">
        <v>17</v>
      </c>
      <c r="H1129" t="s">
        <v>158</v>
      </c>
      <c r="I1129" t="s">
        <v>203</v>
      </c>
      <c r="J1129" t="s">
        <v>254</v>
      </c>
      <c r="K1129" s="2">
        <v>18</v>
      </c>
      <c r="L1129">
        <v>50</v>
      </c>
      <c r="M1129">
        <f t="shared" si="17"/>
        <v>900</v>
      </c>
    </row>
    <row r="1130" spans="1:13">
      <c r="A1130" t="s">
        <v>295</v>
      </c>
      <c r="B1130" t="s">
        <v>296</v>
      </c>
      <c r="C1130" s="1">
        <v>40094</v>
      </c>
      <c r="D1130" t="s">
        <v>44</v>
      </c>
      <c r="E1130" t="s">
        <v>15</v>
      </c>
      <c r="F1130" t="s">
        <v>45</v>
      </c>
      <c r="G1130" t="s">
        <v>17</v>
      </c>
      <c r="H1130" t="s">
        <v>158</v>
      </c>
      <c r="I1130" t="s">
        <v>203</v>
      </c>
      <c r="J1130" t="s">
        <v>254</v>
      </c>
      <c r="K1130" s="2">
        <v>18</v>
      </c>
      <c r="L1130">
        <v>9</v>
      </c>
      <c r="M1130">
        <f t="shared" si="17"/>
        <v>162</v>
      </c>
    </row>
    <row r="1131" spans="1:13">
      <c r="A1131" t="s">
        <v>295</v>
      </c>
      <c r="B1131" t="s">
        <v>296</v>
      </c>
      <c r="C1131" s="1">
        <v>39524</v>
      </c>
      <c r="D1131" t="s">
        <v>86</v>
      </c>
      <c r="E1131" t="s">
        <v>66</v>
      </c>
      <c r="F1131" t="s">
        <v>54</v>
      </c>
      <c r="G1131" t="s">
        <v>39</v>
      </c>
      <c r="H1131" t="s">
        <v>158</v>
      </c>
      <c r="I1131" t="s">
        <v>203</v>
      </c>
      <c r="J1131" t="s">
        <v>254</v>
      </c>
      <c r="K1131" s="2">
        <v>34</v>
      </c>
      <c r="L1131">
        <v>24</v>
      </c>
      <c r="M1131">
        <f t="shared" si="17"/>
        <v>816</v>
      </c>
    </row>
    <row r="1132" spans="1:13">
      <c r="A1132" t="s">
        <v>295</v>
      </c>
      <c r="B1132" t="s">
        <v>296</v>
      </c>
      <c r="C1132" s="1">
        <v>39466</v>
      </c>
      <c r="D1132" t="s">
        <v>42</v>
      </c>
      <c r="E1132" t="s">
        <v>15</v>
      </c>
      <c r="F1132" t="s">
        <v>22</v>
      </c>
      <c r="G1132" t="s">
        <v>39</v>
      </c>
      <c r="H1132" t="s">
        <v>158</v>
      </c>
      <c r="I1132" t="s">
        <v>203</v>
      </c>
      <c r="J1132" t="s">
        <v>254</v>
      </c>
      <c r="K1132" s="2">
        <v>62.5</v>
      </c>
      <c r="L1132">
        <v>25</v>
      </c>
      <c r="M1132">
        <f t="shared" si="17"/>
        <v>1562.5</v>
      </c>
    </row>
    <row r="1133" spans="1:13">
      <c r="A1133" t="s">
        <v>295</v>
      </c>
      <c r="B1133" t="s">
        <v>296</v>
      </c>
      <c r="C1133" s="1">
        <v>40090</v>
      </c>
      <c r="D1133" t="s">
        <v>34</v>
      </c>
      <c r="E1133" t="s">
        <v>67</v>
      </c>
      <c r="F1133" t="s">
        <v>35</v>
      </c>
      <c r="G1133" t="s">
        <v>17</v>
      </c>
      <c r="H1133" t="s">
        <v>158</v>
      </c>
      <c r="I1133" t="s">
        <v>203</v>
      </c>
      <c r="J1133" t="s">
        <v>254</v>
      </c>
      <c r="K1133" s="2">
        <v>10</v>
      </c>
      <c r="L1133">
        <v>30</v>
      </c>
      <c r="M1133">
        <f t="shared" si="17"/>
        <v>300</v>
      </c>
    </row>
    <row r="1134" spans="1:13">
      <c r="A1134" t="s">
        <v>295</v>
      </c>
      <c r="B1134" t="s">
        <v>296</v>
      </c>
      <c r="C1134" s="1">
        <v>39559</v>
      </c>
      <c r="D1134" t="s">
        <v>77</v>
      </c>
      <c r="E1134" t="s">
        <v>21</v>
      </c>
      <c r="F1134" t="s">
        <v>51</v>
      </c>
      <c r="G1134" t="s">
        <v>39</v>
      </c>
      <c r="H1134" t="s">
        <v>158</v>
      </c>
      <c r="I1134" t="s">
        <v>203</v>
      </c>
      <c r="J1134" t="s">
        <v>254</v>
      </c>
      <c r="K1134" s="2">
        <v>45.6</v>
      </c>
      <c r="L1134">
        <v>20</v>
      </c>
      <c r="M1134">
        <f t="shared" si="17"/>
        <v>912</v>
      </c>
    </row>
    <row r="1135" spans="1:13">
      <c r="A1135" t="s">
        <v>295</v>
      </c>
      <c r="B1135" t="s">
        <v>296</v>
      </c>
      <c r="C1135" s="1">
        <v>39466</v>
      </c>
      <c r="D1135" t="s">
        <v>57</v>
      </c>
      <c r="E1135" t="s">
        <v>15</v>
      </c>
      <c r="F1135" t="s">
        <v>58</v>
      </c>
      <c r="G1135" t="s">
        <v>39</v>
      </c>
      <c r="H1135" t="s">
        <v>158</v>
      </c>
      <c r="I1135" t="s">
        <v>203</v>
      </c>
      <c r="J1135" t="s">
        <v>254</v>
      </c>
      <c r="K1135" s="2">
        <v>19</v>
      </c>
      <c r="L1135">
        <v>50</v>
      </c>
      <c r="M1135">
        <f t="shared" si="17"/>
        <v>950</v>
      </c>
    </row>
    <row r="1136" spans="1:13">
      <c r="A1136" t="s">
        <v>295</v>
      </c>
      <c r="B1136" t="s">
        <v>296</v>
      </c>
      <c r="C1136" s="1">
        <v>39509</v>
      </c>
      <c r="D1136" t="s">
        <v>185</v>
      </c>
      <c r="E1136" t="s">
        <v>53</v>
      </c>
      <c r="F1136" t="s">
        <v>134</v>
      </c>
      <c r="G1136" t="s">
        <v>39</v>
      </c>
      <c r="H1136" t="s">
        <v>158</v>
      </c>
      <c r="I1136" t="s">
        <v>203</v>
      </c>
      <c r="J1136" t="s">
        <v>254</v>
      </c>
      <c r="K1136" s="2">
        <v>18.399999999999999</v>
      </c>
      <c r="L1136">
        <v>20</v>
      </c>
      <c r="M1136">
        <f t="shared" si="17"/>
        <v>368</v>
      </c>
    </row>
    <row r="1137" spans="1:13">
      <c r="A1137" t="s">
        <v>295</v>
      </c>
      <c r="B1137" t="s">
        <v>296</v>
      </c>
      <c r="C1137" s="1">
        <v>40090</v>
      </c>
      <c r="D1137" t="s">
        <v>169</v>
      </c>
      <c r="E1137" t="s">
        <v>67</v>
      </c>
      <c r="F1137" t="s">
        <v>97</v>
      </c>
      <c r="G1137" t="s">
        <v>17</v>
      </c>
      <c r="H1137" t="s">
        <v>158</v>
      </c>
      <c r="I1137" t="s">
        <v>203</v>
      </c>
      <c r="J1137" t="s">
        <v>254</v>
      </c>
      <c r="K1137" s="2">
        <v>16.25</v>
      </c>
      <c r="L1137">
        <v>40</v>
      </c>
      <c r="M1137">
        <f t="shared" si="17"/>
        <v>650</v>
      </c>
    </row>
    <row r="1138" spans="1:13">
      <c r="A1138" t="s">
        <v>295</v>
      </c>
      <c r="B1138" t="s">
        <v>296</v>
      </c>
      <c r="C1138" s="1">
        <v>40045</v>
      </c>
      <c r="D1138" t="s">
        <v>75</v>
      </c>
      <c r="E1138" t="s">
        <v>15</v>
      </c>
      <c r="F1138" t="s">
        <v>76</v>
      </c>
      <c r="G1138" t="s">
        <v>17</v>
      </c>
      <c r="H1138" t="s">
        <v>158</v>
      </c>
      <c r="I1138" t="s">
        <v>203</v>
      </c>
      <c r="J1138" t="s">
        <v>254</v>
      </c>
      <c r="K1138" s="2">
        <v>34.799999999999997</v>
      </c>
      <c r="L1138">
        <v>60</v>
      </c>
      <c r="M1138">
        <f t="shared" si="17"/>
        <v>2088</v>
      </c>
    </row>
    <row r="1139" spans="1:13">
      <c r="A1139" t="s">
        <v>295</v>
      </c>
      <c r="B1139" t="s">
        <v>296</v>
      </c>
      <c r="C1139" s="1">
        <v>40045</v>
      </c>
      <c r="D1139" t="s">
        <v>95</v>
      </c>
      <c r="E1139" t="s">
        <v>15</v>
      </c>
      <c r="F1139" t="s">
        <v>27</v>
      </c>
      <c r="G1139" t="s">
        <v>17</v>
      </c>
      <c r="H1139" t="s">
        <v>158</v>
      </c>
      <c r="I1139" t="s">
        <v>203</v>
      </c>
      <c r="J1139" t="s">
        <v>254</v>
      </c>
      <c r="K1139" s="2">
        <v>21.05</v>
      </c>
      <c r="L1139">
        <v>21</v>
      </c>
      <c r="M1139">
        <f t="shared" si="17"/>
        <v>442.05</v>
      </c>
    </row>
    <row r="1140" spans="1:13">
      <c r="A1140" t="s">
        <v>295</v>
      </c>
      <c r="B1140" t="s">
        <v>296</v>
      </c>
      <c r="C1140" s="1">
        <v>39449</v>
      </c>
      <c r="D1140" t="s">
        <v>64</v>
      </c>
      <c r="E1140" t="s">
        <v>67</v>
      </c>
      <c r="F1140" t="s">
        <v>35</v>
      </c>
      <c r="G1140" t="s">
        <v>39</v>
      </c>
      <c r="H1140" t="s">
        <v>158</v>
      </c>
      <c r="I1140" t="s">
        <v>203</v>
      </c>
      <c r="J1140" t="s">
        <v>254</v>
      </c>
      <c r="K1140" s="2">
        <v>9.1999999999999993</v>
      </c>
      <c r="L1140">
        <v>15</v>
      </c>
      <c r="M1140">
        <f t="shared" si="17"/>
        <v>138</v>
      </c>
    </row>
    <row r="1141" spans="1:13">
      <c r="A1141" t="s">
        <v>295</v>
      </c>
      <c r="B1141" t="s">
        <v>296</v>
      </c>
      <c r="C1141" s="1">
        <v>40045</v>
      </c>
      <c r="D1141" t="s">
        <v>60</v>
      </c>
      <c r="E1141" t="s">
        <v>15</v>
      </c>
      <c r="F1141" t="s">
        <v>61</v>
      </c>
      <c r="G1141" t="s">
        <v>17</v>
      </c>
      <c r="H1141" t="s">
        <v>158</v>
      </c>
      <c r="I1141" t="s">
        <v>203</v>
      </c>
      <c r="J1141" t="s">
        <v>254</v>
      </c>
      <c r="K1141" s="2">
        <v>9.5</v>
      </c>
      <c r="L1141">
        <v>20</v>
      </c>
      <c r="M1141">
        <f t="shared" si="17"/>
        <v>190</v>
      </c>
    </row>
    <row r="1142" spans="1:13">
      <c r="A1142" t="s">
        <v>295</v>
      </c>
      <c r="B1142" t="s">
        <v>296</v>
      </c>
      <c r="C1142" s="1">
        <v>39449</v>
      </c>
      <c r="D1142" t="s">
        <v>130</v>
      </c>
      <c r="E1142" t="s">
        <v>67</v>
      </c>
      <c r="F1142" t="s">
        <v>118</v>
      </c>
      <c r="G1142" t="s">
        <v>39</v>
      </c>
      <c r="H1142" t="s">
        <v>158</v>
      </c>
      <c r="I1142" t="s">
        <v>203</v>
      </c>
      <c r="J1142" t="s">
        <v>254</v>
      </c>
      <c r="K1142" s="2">
        <v>9</v>
      </c>
      <c r="L1142">
        <v>18</v>
      </c>
      <c r="M1142">
        <f t="shared" si="17"/>
        <v>162</v>
      </c>
    </row>
    <row r="1143" spans="1:13">
      <c r="A1143" t="s">
        <v>295</v>
      </c>
      <c r="B1143" t="s">
        <v>296</v>
      </c>
      <c r="C1143" s="1">
        <v>39897</v>
      </c>
      <c r="D1143" t="s">
        <v>116</v>
      </c>
      <c r="E1143" t="s">
        <v>24</v>
      </c>
      <c r="F1143" t="s">
        <v>22</v>
      </c>
      <c r="G1143" t="s">
        <v>17</v>
      </c>
      <c r="H1143" t="s">
        <v>158</v>
      </c>
      <c r="I1143" t="s">
        <v>203</v>
      </c>
      <c r="J1143" t="s">
        <v>254</v>
      </c>
      <c r="K1143" s="2">
        <v>12</v>
      </c>
      <c r="L1143">
        <v>60</v>
      </c>
      <c r="M1143">
        <f t="shared" si="17"/>
        <v>720</v>
      </c>
    </row>
    <row r="1144" spans="1:13">
      <c r="A1144" t="s">
        <v>295</v>
      </c>
      <c r="B1144" t="s">
        <v>296</v>
      </c>
      <c r="C1144" s="1">
        <v>39559</v>
      </c>
      <c r="D1144" t="s">
        <v>119</v>
      </c>
      <c r="E1144" t="s">
        <v>21</v>
      </c>
      <c r="F1144" t="s">
        <v>97</v>
      </c>
      <c r="G1144" t="s">
        <v>39</v>
      </c>
      <c r="H1144" t="s">
        <v>158</v>
      </c>
      <c r="I1144" t="s">
        <v>203</v>
      </c>
      <c r="J1144" t="s">
        <v>254</v>
      </c>
      <c r="K1144" s="2">
        <v>20</v>
      </c>
      <c r="L1144">
        <v>60</v>
      </c>
      <c r="M1144">
        <f t="shared" si="17"/>
        <v>1200</v>
      </c>
    </row>
    <row r="1145" spans="1:13">
      <c r="A1145" t="s">
        <v>295</v>
      </c>
      <c r="B1145" t="s">
        <v>296</v>
      </c>
      <c r="C1145" s="1">
        <v>39559</v>
      </c>
      <c r="D1145" t="s">
        <v>44</v>
      </c>
      <c r="E1145" t="s">
        <v>21</v>
      </c>
      <c r="F1145" t="s">
        <v>45</v>
      </c>
      <c r="G1145" t="s">
        <v>39</v>
      </c>
      <c r="H1145" t="s">
        <v>158</v>
      </c>
      <c r="I1145" t="s">
        <v>203</v>
      </c>
      <c r="J1145" t="s">
        <v>254</v>
      </c>
      <c r="K1145" s="2">
        <v>18</v>
      </c>
      <c r="L1145">
        <v>24</v>
      </c>
      <c r="M1145">
        <f t="shared" si="17"/>
        <v>432</v>
      </c>
    </row>
    <row r="1146" spans="1:13">
      <c r="A1146" t="s">
        <v>295</v>
      </c>
      <c r="B1146" t="s">
        <v>296</v>
      </c>
      <c r="C1146" s="1">
        <v>40094</v>
      </c>
      <c r="D1146" t="s">
        <v>64</v>
      </c>
      <c r="E1146" t="s">
        <v>15</v>
      </c>
      <c r="F1146" t="s">
        <v>35</v>
      </c>
      <c r="G1146" t="s">
        <v>17</v>
      </c>
      <c r="H1146" t="s">
        <v>158</v>
      </c>
      <c r="I1146" t="s">
        <v>203</v>
      </c>
      <c r="J1146" t="s">
        <v>254</v>
      </c>
      <c r="K1146" s="2">
        <v>9.1999999999999993</v>
      </c>
      <c r="L1146">
        <v>7</v>
      </c>
      <c r="M1146">
        <f t="shared" si="17"/>
        <v>64.399999999999991</v>
      </c>
    </row>
    <row r="1147" spans="1:13">
      <c r="A1147" t="s">
        <v>295</v>
      </c>
      <c r="B1147" t="s">
        <v>296</v>
      </c>
      <c r="C1147" s="1">
        <v>39897</v>
      </c>
      <c r="D1147" t="s">
        <v>36</v>
      </c>
      <c r="E1147" t="s">
        <v>24</v>
      </c>
      <c r="F1147" t="s">
        <v>37</v>
      </c>
      <c r="G1147" t="s">
        <v>17</v>
      </c>
      <c r="H1147" t="s">
        <v>158</v>
      </c>
      <c r="I1147" t="s">
        <v>203</v>
      </c>
      <c r="J1147" t="s">
        <v>254</v>
      </c>
      <c r="K1147" s="2">
        <v>15.2</v>
      </c>
      <c r="L1147">
        <v>20</v>
      </c>
      <c r="M1147">
        <f t="shared" si="17"/>
        <v>304</v>
      </c>
    </row>
    <row r="1148" spans="1:13">
      <c r="A1148" t="s">
        <v>295</v>
      </c>
      <c r="B1148" t="s">
        <v>296</v>
      </c>
      <c r="C1148" s="1">
        <v>40094</v>
      </c>
      <c r="D1148" t="s">
        <v>68</v>
      </c>
      <c r="E1148" t="s">
        <v>15</v>
      </c>
      <c r="F1148" t="s">
        <v>69</v>
      </c>
      <c r="G1148" t="s">
        <v>17</v>
      </c>
      <c r="H1148" t="s">
        <v>158</v>
      </c>
      <c r="I1148" t="s">
        <v>203</v>
      </c>
      <c r="J1148" t="s">
        <v>254</v>
      </c>
      <c r="K1148" s="2">
        <v>13.25</v>
      </c>
      <c r="L1148">
        <v>30</v>
      </c>
      <c r="M1148">
        <f t="shared" si="17"/>
        <v>397.5</v>
      </c>
    </row>
    <row r="1149" spans="1:13">
      <c r="A1149" t="s">
        <v>295</v>
      </c>
      <c r="B1149" t="s">
        <v>296</v>
      </c>
      <c r="C1149" s="1">
        <v>40094</v>
      </c>
      <c r="D1149" t="s">
        <v>116</v>
      </c>
      <c r="E1149" t="s">
        <v>15</v>
      </c>
      <c r="F1149" t="s">
        <v>22</v>
      </c>
      <c r="G1149" t="s">
        <v>17</v>
      </c>
      <c r="H1149" t="s">
        <v>158</v>
      </c>
      <c r="I1149" t="s">
        <v>203</v>
      </c>
      <c r="J1149" t="s">
        <v>254</v>
      </c>
      <c r="K1149" s="2">
        <v>15</v>
      </c>
      <c r="L1149">
        <v>30</v>
      </c>
      <c r="M1149">
        <f t="shared" si="17"/>
        <v>450</v>
      </c>
    </row>
    <row r="1150" spans="1:13">
      <c r="A1150" t="s">
        <v>295</v>
      </c>
      <c r="B1150" t="s">
        <v>296</v>
      </c>
      <c r="C1150" s="1">
        <v>39897</v>
      </c>
      <c r="D1150" t="s">
        <v>151</v>
      </c>
      <c r="E1150" t="s">
        <v>24</v>
      </c>
      <c r="F1150" t="s">
        <v>37</v>
      </c>
      <c r="G1150" t="s">
        <v>17</v>
      </c>
      <c r="H1150" t="s">
        <v>158</v>
      </c>
      <c r="I1150" t="s">
        <v>203</v>
      </c>
      <c r="J1150" t="s">
        <v>254</v>
      </c>
      <c r="K1150" s="2">
        <v>8</v>
      </c>
      <c r="L1150">
        <v>20</v>
      </c>
      <c r="M1150">
        <f t="shared" si="17"/>
        <v>160</v>
      </c>
    </row>
    <row r="1151" spans="1:13">
      <c r="A1151" t="s">
        <v>295</v>
      </c>
      <c r="B1151" t="s">
        <v>296</v>
      </c>
      <c r="C1151" s="1">
        <v>39466</v>
      </c>
      <c r="D1151" t="s">
        <v>109</v>
      </c>
      <c r="E1151" t="s">
        <v>24</v>
      </c>
      <c r="F1151" t="s">
        <v>56</v>
      </c>
      <c r="G1151" t="s">
        <v>39</v>
      </c>
      <c r="H1151" t="s">
        <v>158</v>
      </c>
      <c r="I1151" t="s">
        <v>203</v>
      </c>
      <c r="J1151" t="s">
        <v>254</v>
      </c>
      <c r="K1151" s="2">
        <v>18</v>
      </c>
      <c r="L1151">
        <v>10</v>
      </c>
      <c r="M1151">
        <f t="shared" si="17"/>
        <v>180</v>
      </c>
    </row>
    <row r="1152" spans="1:13">
      <c r="A1152" t="s">
        <v>295</v>
      </c>
      <c r="B1152" t="s">
        <v>296</v>
      </c>
      <c r="C1152" s="1">
        <v>39897</v>
      </c>
      <c r="D1152" t="s">
        <v>148</v>
      </c>
      <c r="E1152" t="s">
        <v>24</v>
      </c>
      <c r="F1152" t="s">
        <v>16</v>
      </c>
      <c r="G1152" t="s">
        <v>17</v>
      </c>
      <c r="H1152" t="s">
        <v>158</v>
      </c>
      <c r="I1152" t="s">
        <v>203</v>
      </c>
      <c r="J1152" t="s">
        <v>254</v>
      </c>
      <c r="K1152" s="2">
        <v>19.2</v>
      </c>
      <c r="L1152">
        <v>30</v>
      </c>
      <c r="M1152">
        <f t="shared" si="17"/>
        <v>576</v>
      </c>
    </row>
    <row r="1153" spans="1:13">
      <c r="A1153" t="s">
        <v>295</v>
      </c>
      <c r="B1153" t="s">
        <v>296</v>
      </c>
      <c r="C1153" s="1">
        <v>39524</v>
      </c>
      <c r="D1153" t="s">
        <v>60</v>
      </c>
      <c r="E1153" t="s">
        <v>66</v>
      </c>
      <c r="F1153" t="s">
        <v>61</v>
      </c>
      <c r="G1153" t="s">
        <v>39</v>
      </c>
      <c r="H1153" t="s">
        <v>158</v>
      </c>
      <c r="I1153" t="s">
        <v>203</v>
      </c>
      <c r="J1153" t="s">
        <v>254</v>
      </c>
      <c r="K1153" s="2">
        <v>9.5</v>
      </c>
      <c r="L1153">
        <v>30</v>
      </c>
      <c r="M1153">
        <f t="shared" si="17"/>
        <v>285</v>
      </c>
    </row>
    <row r="1154" spans="1:13">
      <c r="A1154" t="s">
        <v>295</v>
      </c>
      <c r="B1154" t="s">
        <v>296</v>
      </c>
      <c r="C1154" s="1">
        <v>39509</v>
      </c>
      <c r="D1154" t="s">
        <v>20</v>
      </c>
      <c r="E1154" t="s">
        <v>53</v>
      </c>
      <c r="F1154" t="s">
        <v>22</v>
      </c>
      <c r="G1154" t="s">
        <v>39</v>
      </c>
      <c r="H1154" t="s">
        <v>158</v>
      </c>
      <c r="I1154" t="s">
        <v>203</v>
      </c>
      <c r="J1154" t="s">
        <v>254</v>
      </c>
      <c r="K1154" s="2">
        <v>17.45</v>
      </c>
      <c r="L1154">
        <v>24</v>
      </c>
      <c r="M1154">
        <f t="shared" si="17"/>
        <v>418.79999999999995</v>
      </c>
    </row>
    <row r="1155" spans="1:13">
      <c r="A1155" t="s">
        <v>295</v>
      </c>
      <c r="B1155" t="s">
        <v>296</v>
      </c>
      <c r="C1155" s="1">
        <v>39559</v>
      </c>
      <c r="D1155" t="s">
        <v>123</v>
      </c>
      <c r="E1155" t="s">
        <v>21</v>
      </c>
      <c r="F1155" t="s">
        <v>63</v>
      </c>
      <c r="G1155" t="s">
        <v>39</v>
      </c>
      <c r="H1155" t="s">
        <v>158</v>
      </c>
      <c r="I1155" t="s">
        <v>203</v>
      </c>
      <c r="J1155" t="s">
        <v>254</v>
      </c>
      <c r="K1155" s="2">
        <v>19.5</v>
      </c>
      <c r="L1155">
        <v>28</v>
      </c>
      <c r="M1155">
        <f t="shared" ref="M1155:M1218" si="18">K1155*L1155</f>
        <v>546</v>
      </c>
    </row>
    <row r="1156" spans="1:13">
      <c r="A1156" t="s">
        <v>295</v>
      </c>
      <c r="B1156" t="s">
        <v>296</v>
      </c>
      <c r="C1156" s="1">
        <v>39466</v>
      </c>
      <c r="D1156" t="s">
        <v>111</v>
      </c>
      <c r="E1156" t="s">
        <v>15</v>
      </c>
      <c r="F1156" t="s">
        <v>37</v>
      </c>
      <c r="G1156" t="s">
        <v>39</v>
      </c>
      <c r="H1156" t="s">
        <v>158</v>
      </c>
      <c r="I1156" t="s">
        <v>203</v>
      </c>
      <c r="J1156" t="s">
        <v>254</v>
      </c>
      <c r="K1156" s="2">
        <v>18</v>
      </c>
      <c r="L1156">
        <v>4</v>
      </c>
      <c r="M1156">
        <f t="shared" si="18"/>
        <v>72</v>
      </c>
    </row>
    <row r="1157" spans="1:13">
      <c r="A1157" t="s">
        <v>295</v>
      </c>
      <c r="B1157" t="s">
        <v>296</v>
      </c>
      <c r="C1157" s="1">
        <v>39509</v>
      </c>
      <c r="D1157" t="s">
        <v>122</v>
      </c>
      <c r="E1157" t="s">
        <v>53</v>
      </c>
      <c r="F1157" t="s">
        <v>31</v>
      </c>
      <c r="G1157" t="s">
        <v>39</v>
      </c>
      <c r="H1157" t="s">
        <v>158</v>
      </c>
      <c r="I1157" t="s">
        <v>203</v>
      </c>
      <c r="J1157" t="s">
        <v>254</v>
      </c>
      <c r="K1157" s="2">
        <v>14</v>
      </c>
      <c r="L1157">
        <v>24</v>
      </c>
      <c r="M1157">
        <f t="shared" si="18"/>
        <v>336</v>
      </c>
    </row>
    <row r="1158" spans="1:13">
      <c r="A1158" t="s">
        <v>295</v>
      </c>
      <c r="B1158" t="s">
        <v>296</v>
      </c>
      <c r="C1158" s="1">
        <v>39548</v>
      </c>
      <c r="D1158" t="s">
        <v>133</v>
      </c>
      <c r="E1158" t="s">
        <v>53</v>
      </c>
      <c r="F1158" t="s">
        <v>134</v>
      </c>
      <c r="G1158" t="s">
        <v>39</v>
      </c>
      <c r="H1158" t="s">
        <v>158</v>
      </c>
      <c r="I1158" t="s">
        <v>203</v>
      </c>
      <c r="J1158" t="s">
        <v>254</v>
      </c>
      <c r="K1158" s="2">
        <v>9.65</v>
      </c>
      <c r="L1158">
        <v>28</v>
      </c>
      <c r="M1158">
        <f t="shared" si="18"/>
        <v>270.2</v>
      </c>
    </row>
    <row r="1159" spans="1:13">
      <c r="A1159" t="s">
        <v>295</v>
      </c>
      <c r="B1159" t="s">
        <v>296</v>
      </c>
      <c r="C1159" s="1">
        <v>39524</v>
      </c>
      <c r="D1159" t="s">
        <v>20</v>
      </c>
      <c r="E1159" t="s">
        <v>66</v>
      </c>
      <c r="F1159" t="s">
        <v>22</v>
      </c>
      <c r="G1159" t="s">
        <v>39</v>
      </c>
      <c r="H1159" t="s">
        <v>158</v>
      </c>
      <c r="I1159" t="s">
        <v>203</v>
      </c>
      <c r="J1159" t="s">
        <v>254</v>
      </c>
      <c r="K1159" s="2">
        <v>17.45</v>
      </c>
      <c r="L1159">
        <v>28</v>
      </c>
      <c r="M1159">
        <f t="shared" si="18"/>
        <v>488.59999999999997</v>
      </c>
    </row>
    <row r="1160" spans="1:13">
      <c r="A1160" t="s">
        <v>295</v>
      </c>
      <c r="B1160" t="s">
        <v>296</v>
      </c>
      <c r="C1160" s="1">
        <v>39819</v>
      </c>
      <c r="D1160" t="s">
        <v>151</v>
      </c>
      <c r="E1160" t="s">
        <v>21</v>
      </c>
      <c r="F1160" t="s">
        <v>37</v>
      </c>
      <c r="G1160" t="s">
        <v>17</v>
      </c>
      <c r="H1160" t="s">
        <v>158</v>
      </c>
      <c r="I1160" t="s">
        <v>203</v>
      </c>
      <c r="J1160" t="s">
        <v>254</v>
      </c>
      <c r="K1160" s="2">
        <v>8</v>
      </c>
      <c r="L1160">
        <v>50</v>
      </c>
      <c r="M1160">
        <f t="shared" si="18"/>
        <v>400</v>
      </c>
    </row>
    <row r="1161" spans="1:13">
      <c r="A1161" t="s">
        <v>295</v>
      </c>
      <c r="B1161" t="s">
        <v>296</v>
      </c>
      <c r="C1161" s="1">
        <v>39524</v>
      </c>
      <c r="D1161" t="s">
        <v>137</v>
      </c>
      <c r="E1161" t="s">
        <v>66</v>
      </c>
      <c r="F1161" t="s">
        <v>76</v>
      </c>
      <c r="G1161" t="s">
        <v>39</v>
      </c>
      <c r="H1161" t="s">
        <v>158</v>
      </c>
      <c r="I1161" t="s">
        <v>203</v>
      </c>
      <c r="J1161" t="s">
        <v>254</v>
      </c>
      <c r="K1161" s="2">
        <v>12.5</v>
      </c>
      <c r="L1161">
        <v>25</v>
      </c>
      <c r="M1161">
        <f t="shared" si="18"/>
        <v>312.5</v>
      </c>
    </row>
    <row r="1162" spans="1:13">
      <c r="A1162" t="s">
        <v>295</v>
      </c>
      <c r="B1162" t="s">
        <v>296</v>
      </c>
      <c r="C1162" s="1">
        <v>39449</v>
      </c>
      <c r="D1162" t="s">
        <v>185</v>
      </c>
      <c r="E1162" t="s">
        <v>67</v>
      </c>
      <c r="F1162" t="s">
        <v>134</v>
      </c>
      <c r="G1162" t="s">
        <v>39</v>
      </c>
      <c r="H1162" t="s">
        <v>158</v>
      </c>
      <c r="I1162" t="s">
        <v>203</v>
      </c>
      <c r="J1162" t="s">
        <v>254</v>
      </c>
      <c r="K1162" s="2">
        <v>18.399999999999999</v>
      </c>
      <c r="L1162">
        <v>30</v>
      </c>
      <c r="M1162">
        <f t="shared" si="18"/>
        <v>552</v>
      </c>
    </row>
    <row r="1163" spans="1:13">
      <c r="A1163" t="s">
        <v>297</v>
      </c>
      <c r="B1163" t="s">
        <v>298</v>
      </c>
      <c r="C1163" s="1">
        <v>40019</v>
      </c>
      <c r="D1163" t="s">
        <v>57</v>
      </c>
      <c r="E1163" t="s">
        <v>67</v>
      </c>
      <c r="F1163" t="s">
        <v>58</v>
      </c>
      <c r="G1163" t="s">
        <v>17</v>
      </c>
      <c r="H1163" t="s">
        <v>215</v>
      </c>
      <c r="I1163" t="s">
        <v>299</v>
      </c>
      <c r="J1163" t="s">
        <v>300</v>
      </c>
      <c r="K1163" s="2">
        <v>19</v>
      </c>
      <c r="L1163">
        <v>21</v>
      </c>
      <c r="M1163">
        <f t="shared" si="18"/>
        <v>399</v>
      </c>
    </row>
    <row r="1164" spans="1:13">
      <c r="A1164" t="s">
        <v>297</v>
      </c>
      <c r="B1164" t="s">
        <v>298</v>
      </c>
      <c r="C1164" s="1">
        <v>39837</v>
      </c>
      <c r="D1164" t="s">
        <v>96</v>
      </c>
      <c r="E1164" t="s">
        <v>89</v>
      </c>
      <c r="F1164" t="s">
        <v>97</v>
      </c>
      <c r="G1164" t="s">
        <v>17</v>
      </c>
      <c r="H1164" t="s">
        <v>215</v>
      </c>
      <c r="I1164" t="s">
        <v>299</v>
      </c>
      <c r="J1164" t="s">
        <v>300</v>
      </c>
      <c r="K1164" s="2">
        <v>14.4</v>
      </c>
      <c r="L1164">
        <v>20</v>
      </c>
      <c r="M1164">
        <f t="shared" si="18"/>
        <v>288</v>
      </c>
    </row>
    <row r="1165" spans="1:13">
      <c r="A1165" t="s">
        <v>297</v>
      </c>
      <c r="B1165" t="s">
        <v>298</v>
      </c>
      <c r="C1165" s="1">
        <v>39461</v>
      </c>
      <c r="D1165" t="s">
        <v>122</v>
      </c>
      <c r="E1165" t="s">
        <v>53</v>
      </c>
      <c r="F1165" t="s">
        <v>31</v>
      </c>
      <c r="G1165" t="s">
        <v>39</v>
      </c>
      <c r="H1165" t="s">
        <v>215</v>
      </c>
      <c r="I1165" t="s">
        <v>299</v>
      </c>
      <c r="J1165" t="s">
        <v>300</v>
      </c>
      <c r="K1165" s="2">
        <v>14</v>
      </c>
      <c r="L1165">
        <v>10</v>
      </c>
      <c r="M1165">
        <f t="shared" si="18"/>
        <v>140</v>
      </c>
    </row>
    <row r="1166" spans="1:13">
      <c r="A1166" t="s">
        <v>297</v>
      </c>
      <c r="B1166" t="s">
        <v>298</v>
      </c>
      <c r="C1166" s="1">
        <v>39905</v>
      </c>
      <c r="D1166" t="s">
        <v>43</v>
      </c>
      <c r="E1166" t="s">
        <v>24</v>
      </c>
      <c r="F1166" t="s">
        <v>41</v>
      </c>
      <c r="G1166" t="s">
        <v>17</v>
      </c>
      <c r="H1166" t="s">
        <v>215</v>
      </c>
      <c r="I1166" t="s">
        <v>299</v>
      </c>
      <c r="J1166" t="s">
        <v>300</v>
      </c>
      <c r="K1166" s="2">
        <v>28.8</v>
      </c>
      <c r="L1166">
        <v>10</v>
      </c>
      <c r="M1166">
        <f t="shared" si="18"/>
        <v>288</v>
      </c>
    </row>
    <row r="1167" spans="1:13">
      <c r="A1167" t="s">
        <v>297</v>
      </c>
      <c r="B1167" t="s">
        <v>298</v>
      </c>
      <c r="C1167" s="1">
        <v>39905</v>
      </c>
      <c r="D1167" t="s">
        <v>152</v>
      </c>
      <c r="E1167" t="s">
        <v>24</v>
      </c>
      <c r="F1167" t="s">
        <v>27</v>
      </c>
      <c r="G1167" t="s">
        <v>17</v>
      </c>
      <c r="H1167" t="s">
        <v>215</v>
      </c>
      <c r="I1167" t="s">
        <v>299</v>
      </c>
      <c r="J1167" t="s">
        <v>300</v>
      </c>
      <c r="K1167" s="2">
        <v>13.6</v>
      </c>
      <c r="L1167">
        <v>10</v>
      </c>
      <c r="M1167">
        <f t="shared" si="18"/>
        <v>136</v>
      </c>
    </row>
    <row r="1168" spans="1:13">
      <c r="A1168" t="s">
        <v>297</v>
      </c>
      <c r="B1168" t="s">
        <v>298</v>
      </c>
      <c r="C1168" s="1">
        <v>39905</v>
      </c>
      <c r="D1168" t="s">
        <v>95</v>
      </c>
      <c r="E1168" t="s">
        <v>24</v>
      </c>
      <c r="F1168" t="s">
        <v>27</v>
      </c>
      <c r="G1168" t="s">
        <v>17</v>
      </c>
      <c r="H1168" t="s">
        <v>215</v>
      </c>
      <c r="I1168" t="s">
        <v>299</v>
      </c>
      <c r="J1168" t="s">
        <v>300</v>
      </c>
      <c r="K1168" s="2">
        <v>16.8</v>
      </c>
      <c r="L1168">
        <v>15</v>
      </c>
      <c r="M1168">
        <f t="shared" si="18"/>
        <v>252</v>
      </c>
    </row>
    <row r="1169" spans="1:13">
      <c r="A1169" t="s">
        <v>297</v>
      </c>
      <c r="B1169" t="s">
        <v>298</v>
      </c>
      <c r="C1169" s="1">
        <v>40075</v>
      </c>
      <c r="D1169" t="s">
        <v>88</v>
      </c>
      <c r="E1169" t="s">
        <v>53</v>
      </c>
      <c r="F1169" t="s">
        <v>51</v>
      </c>
      <c r="G1169" t="s">
        <v>39</v>
      </c>
      <c r="H1169" t="s">
        <v>215</v>
      </c>
      <c r="I1169" t="s">
        <v>299</v>
      </c>
      <c r="J1169" t="s">
        <v>300</v>
      </c>
      <c r="K1169" s="2">
        <v>123.79</v>
      </c>
      <c r="L1169">
        <v>20</v>
      </c>
      <c r="M1169">
        <f t="shared" si="18"/>
        <v>2475.8000000000002</v>
      </c>
    </row>
    <row r="1170" spans="1:13">
      <c r="A1170" t="s">
        <v>297</v>
      </c>
      <c r="B1170" t="s">
        <v>298</v>
      </c>
      <c r="C1170" s="1">
        <v>40039</v>
      </c>
      <c r="D1170" t="s">
        <v>71</v>
      </c>
      <c r="E1170" t="s">
        <v>67</v>
      </c>
      <c r="F1170" t="s">
        <v>51</v>
      </c>
      <c r="G1170" t="s">
        <v>17</v>
      </c>
      <c r="H1170" t="s">
        <v>215</v>
      </c>
      <c r="I1170" t="s">
        <v>299</v>
      </c>
      <c r="J1170" t="s">
        <v>300</v>
      </c>
      <c r="K1170" s="2">
        <v>7.75</v>
      </c>
      <c r="L1170">
        <v>8</v>
      </c>
      <c r="M1170">
        <f t="shared" si="18"/>
        <v>62</v>
      </c>
    </row>
    <row r="1171" spans="1:13">
      <c r="A1171" t="s">
        <v>297</v>
      </c>
      <c r="B1171" t="s">
        <v>298</v>
      </c>
      <c r="C1171" s="1">
        <v>39461</v>
      </c>
      <c r="D1171" t="s">
        <v>124</v>
      </c>
      <c r="E1171" t="s">
        <v>53</v>
      </c>
      <c r="F1171" t="s">
        <v>125</v>
      </c>
      <c r="G1171" t="s">
        <v>39</v>
      </c>
      <c r="H1171" t="s">
        <v>215</v>
      </c>
      <c r="I1171" t="s">
        <v>299</v>
      </c>
      <c r="J1171" t="s">
        <v>300</v>
      </c>
      <c r="K1171" s="2">
        <v>6</v>
      </c>
      <c r="L1171">
        <v>3</v>
      </c>
      <c r="M1171">
        <f t="shared" si="18"/>
        <v>18</v>
      </c>
    </row>
    <row r="1172" spans="1:13">
      <c r="A1172" t="s">
        <v>297</v>
      </c>
      <c r="B1172" t="s">
        <v>298</v>
      </c>
      <c r="C1172" s="1">
        <v>39461</v>
      </c>
      <c r="D1172" t="s">
        <v>147</v>
      </c>
      <c r="E1172" t="s">
        <v>53</v>
      </c>
      <c r="F1172" t="s">
        <v>51</v>
      </c>
      <c r="G1172" t="s">
        <v>39</v>
      </c>
      <c r="H1172" t="s">
        <v>215</v>
      </c>
      <c r="I1172" t="s">
        <v>299</v>
      </c>
      <c r="J1172" t="s">
        <v>300</v>
      </c>
      <c r="K1172" s="2">
        <v>33.25</v>
      </c>
      <c r="L1172">
        <v>3</v>
      </c>
      <c r="M1172">
        <f t="shared" si="18"/>
        <v>99.75</v>
      </c>
    </row>
    <row r="1173" spans="1:13">
      <c r="A1173" t="s">
        <v>297</v>
      </c>
      <c r="B1173" t="s">
        <v>298</v>
      </c>
      <c r="C1173" s="1">
        <v>39694</v>
      </c>
      <c r="D1173" t="s">
        <v>57</v>
      </c>
      <c r="E1173" t="s">
        <v>21</v>
      </c>
      <c r="F1173" t="s">
        <v>58</v>
      </c>
      <c r="G1173" t="s">
        <v>17</v>
      </c>
      <c r="H1173" t="s">
        <v>215</v>
      </c>
      <c r="I1173" t="s">
        <v>299</v>
      </c>
      <c r="J1173" t="s">
        <v>300</v>
      </c>
      <c r="K1173" s="2">
        <v>15.2</v>
      </c>
      <c r="L1173">
        <v>6</v>
      </c>
      <c r="M1173">
        <f t="shared" si="18"/>
        <v>91.199999999999989</v>
      </c>
    </row>
    <row r="1174" spans="1:13">
      <c r="A1174" t="s">
        <v>297</v>
      </c>
      <c r="B1174" t="s">
        <v>298</v>
      </c>
      <c r="C1174" s="1">
        <v>39731</v>
      </c>
      <c r="D1174" t="s">
        <v>43</v>
      </c>
      <c r="E1174" t="s">
        <v>89</v>
      </c>
      <c r="F1174" t="s">
        <v>41</v>
      </c>
      <c r="G1174" t="s">
        <v>17</v>
      </c>
      <c r="H1174" t="s">
        <v>215</v>
      </c>
      <c r="I1174" t="s">
        <v>299</v>
      </c>
      <c r="J1174" t="s">
        <v>300</v>
      </c>
      <c r="K1174" s="2">
        <v>28.8</v>
      </c>
      <c r="L1174">
        <v>18</v>
      </c>
      <c r="M1174">
        <f t="shared" si="18"/>
        <v>518.4</v>
      </c>
    </row>
    <row r="1175" spans="1:13">
      <c r="A1175" t="s">
        <v>297</v>
      </c>
      <c r="B1175" t="s">
        <v>298</v>
      </c>
      <c r="C1175" s="1">
        <v>39837</v>
      </c>
      <c r="D1175" t="s">
        <v>148</v>
      </c>
      <c r="E1175" t="s">
        <v>89</v>
      </c>
      <c r="F1175" t="s">
        <v>16</v>
      </c>
      <c r="G1175" t="s">
        <v>17</v>
      </c>
      <c r="H1175" t="s">
        <v>215</v>
      </c>
      <c r="I1175" t="s">
        <v>299</v>
      </c>
      <c r="J1175" t="s">
        <v>300</v>
      </c>
      <c r="K1175" s="2">
        <v>19.2</v>
      </c>
      <c r="L1175">
        <v>10</v>
      </c>
      <c r="M1175">
        <f t="shared" si="18"/>
        <v>192</v>
      </c>
    </row>
    <row r="1176" spans="1:13">
      <c r="A1176" t="s">
        <v>297</v>
      </c>
      <c r="B1176" t="s">
        <v>298</v>
      </c>
      <c r="C1176" s="1">
        <v>39912</v>
      </c>
      <c r="D1176" t="s">
        <v>180</v>
      </c>
      <c r="E1176" t="s">
        <v>89</v>
      </c>
      <c r="F1176" t="s">
        <v>125</v>
      </c>
      <c r="G1176" t="s">
        <v>17</v>
      </c>
      <c r="H1176" t="s">
        <v>215</v>
      </c>
      <c r="I1176" t="s">
        <v>299</v>
      </c>
      <c r="J1176" t="s">
        <v>300</v>
      </c>
      <c r="K1176" s="2">
        <v>15.5</v>
      </c>
      <c r="L1176">
        <v>12</v>
      </c>
      <c r="M1176">
        <f t="shared" si="18"/>
        <v>186</v>
      </c>
    </row>
    <row r="1177" spans="1:13">
      <c r="A1177" t="s">
        <v>297</v>
      </c>
      <c r="B1177" t="s">
        <v>298</v>
      </c>
      <c r="C1177" s="1">
        <v>39731</v>
      </c>
      <c r="D1177" t="s">
        <v>169</v>
      </c>
      <c r="E1177" t="s">
        <v>89</v>
      </c>
      <c r="F1177" t="s">
        <v>97</v>
      </c>
      <c r="G1177" t="s">
        <v>17</v>
      </c>
      <c r="H1177" t="s">
        <v>215</v>
      </c>
      <c r="I1177" t="s">
        <v>299</v>
      </c>
      <c r="J1177" t="s">
        <v>300</v>
      </c>
      <c r="K1177" s="2">
        <v>13</v>
      </c>
      <c r="L1177">
        <v>15</v>
      </c>
      <c r="M1177">
        <f t="shared" si="18"/>
        <v>195</v>
      </c>
    </row>
    <row r="1178" spans="1:13">
      <c r="A1178" t="s">
        <v>297</v>
      </c>
      <c r="B1178" t="s">
        <v>298</v>
      </c>
      <c r="C1178" s="1">
        <v>39912</v>
      </c>
      <c r="D1178" t="s">
        <v>77</v>
      </c>
      <c r="E1178" t="s">
        <v>89</v>
      </c>
      <c r="F1178" t="s">
        <v>51</v>
      </c>
      <c r="G1178" t="s">
        <v>17</v>
      </c>
      <c r="H1178" t="s">
        <v>215</v>
      </c>
      <c r="I1178" t="s">
        <v>299</v>
      </c>
      <c r="J1178" t="s">
        <v>300</v>
      </c>
      <c r="K1178" s="2">
        <v>45.6</v>
      </c>
      <c r="L1178">
        <v>8</v>
      </c>
      <c r="M1178">
        <f t="shared" si="18"/>
        <v>364.8</v>
      </c>
    </row>
    <row r="1179" spans="1:13">
      <c r="A1179" t="s">
        <v>297</v>
      </c>
      <c r="B1179" t="s">
        <v>298</v>
      </c>
      <c r="C1179" s="1">
        <v>39461</v>
      </c>
      <c r="D1179" t="s">
        <v>73</v>
      </c>
      <c r="E1179" t="s">
        <v>53</v>
      </c>
      <c r="F1179" t="s">
        <v>74</v>
      </c>
      <c r="G1179" t="s">
        <v>39</v>
      </c>
      <c r="H1179" t="s">
        <v>215</v>
      </c>
      <c r="I1179" t="s">
        <v>299</v>
      </c>
      <c r="J1179" t="s">
        <v>300</v>
      </c>
      <c r="K1179" s="2">
        <v>19.45</v>
      </c>
      <c r="L1179">
        <v>16</v>
      </c>
      <c r="M1179">
        <f t="shared" si="18"/>
        <v>311.2</v>
      </c>
    </row>
    <row r="1180" spans="1:13">
      <c r="A1180" t="s">
        <v>297</v>
      </c>
      <c r="B1180" t="s">
        <v>298</v>
      </c>
      <c r="C1180" s="1">
        <v>39565</v>
      </c>
      <c r="D1180" t="s">
        <v>98</v>
      </c>
      <c r="E1180" t="s">
        <v>50</v>
      </c>
      <c r="F1180" t="s">
        <v>99</v>
      </c>
      <c r="G1180" t="s">
        <v>39</v>
      </c>
      <c r="H1180" t="s">
        <v>215</v>
      </c>
      <c r="I1180" t="s">
        <v>299</v>
      </c>
      <c r="J1180" t="s">
        <v>300</v>
      </c>
      <c r="K1180" s="2">
        <v>4.5</v>
      </c>
      <c r="L1180">
        <v>10</v>
      </c>
      <c r="M1180">
        <f t="shared" si="18"/>
        <v>45</v>
      </c>
    </row>
    <row r="1181" spans="1:13">
      <c r="A1181" t="s">
        <v>297</v>
      </c>
      <c r="B1181" t="s">
        <v>298</v>
      </c>
      <c r="C1181" s="1">
        <v>39865</v>
      </c>
      <c r="D1181" t="s">
        <v>70</v>
      </c>
      <c r="E1181" t="s">
        <v>24</v>
      </c>
      <c r="F1181" t="s">
        <v>61</v>
      </c>
      <c r="G1181" t="s">
        <v>17</v>
      </c>
      <c r="H1181" t="s">
        <v>215</v>
      </c>
      <c r="I1181" t="s">
        <v>299</v>
      </c>
      <c r="J1181" t="s">
        <v>300</v>
      </c>
      <c r="K1181" s="2">
        <v>9.6</v>
      </c>
      <c r="L1181">
        <v>10</v>
      </c>
      <c r="M1181">
        <f t="shared" si="18"/>
        <v>96</v>
      </c>
    </row>
    <row r="1182" spans="1:13">
      <c r="A1182" t="s">
        <v>297</v>
      </c>
      <c r="B1182" t="s">
        <v>298</v>
      </c>
      <c r="C1182" s="1">
        <v>39741</v>
      </c>
      <c r="D1182" t="s">
        <v>98</v>
      </c>
      <c r="E1182" t="s">
        <v>66</v>
      </c>
      <c r="F1182" t="s">
        <v>99</v>
      </c>
      <c r="G1182" t="s">
        <v>17</v>
      </c>
      <c r="H1182" t="s">
        <v>215</v>
      </c>
      <c r="I1182" t="s">
        <v>299</v>
      </c>
      <c r="J1182" t="s">
        <v>300</v>
      </c>
      <c r="K1182" s="2">
        <v>3.6</v>
      </c>
      <c r="L1182">
        <v>10</v>
      </c>
      <c r="M1182">
        <f t="shared" si="18"/>
        <v>36</v>
      </c>
    </row>
    <row r="1183" spans="1:13">
      <c r="A1183" t="s">
        <v>297</v>
      </c>
      <c r="B1183" t="s">
        <v>298</v>
      </c>
      <c r="C1183" s="1">
        <v>39741</v>
      </c>
      <c r="D1183" t="s">
        <v>59</v>
      </c>
      <c r="E1183" t="s">
        <v>66</v>
      </c>
      <c r="F1183" t="s">
        <v>45</v>
      </c>
      <c r="G1183" t="s">
        <v>17</v>
      </c>
      <c r="H1183" t="s">
        <v>215</v>
      </c>
      <c r="I1183" t="s">
        <v>299</v>
      </c>
      <c r="J1183" t="s">
        <v>300</v>
      </c>
      <c r="K1183" s="2">
        <v>11.2</v>
      </c>
      <c r="L1183">
        <v>10</v>
      </c>
      <c r="M1183">
        <f t="shared" si="18"/>
        <v>112</v>
      </c>
    </row>
    <row r="1184" spans="1:13">
      <c r="A1184" t="s">
        <v>297</v>
      </c>
      <c r="B1184" t="s">
        <v>298</v>
      </c>
      <c r="C1184" s="1">
        <v>39741</v>
      </c>
      <c r="D1184" t="s">
        <v>57</v>
      </c>
      <c r="E1184" t="s">
        <v>66</v>
      </c>
      <c r="F1184" t="s">
        <v>58</v>
      </c>
      <c r="G1184" t="s">
        <v>17</v>
      </c>
      <c r="H1184" t="s">
        <v>215</v>
      </c>
      <c r="I1184" t="s">
        <v>299</v>
      </c>
      <c r="J1184" t="s">
        <v>300</v>
      </c>
      <c r="K1184" s="2">
        <v>15.2</v>
      </c>
      <c r="L1184">
        <v>20</v>
      </c>
      <c r="M1184">
        <f t="shared" si="18"/>
        <v>304</v>
      </c>
    </row>
    <row r="1185" spans="1:13">
      <c r="A1185" t="s">
        <v>297</v>
      </c>
      <c r="B1185" t="s">
        <v>298</v>
      </c>
      <c r="C1185" s="1">
        <v>39510</v>
      </c>
      <c r="D1185" t="s">
        <v>171</v>
      </c>
      <c r="E1185" t="s">
        <v>50</v>
      </c>
      <c r="F1185" t="s">
        <v>45</v>
      </c>
      <c r="G1185" t="s">
        <v>39</v>
      </c>
      <c r="H1185" t="s">
        <v>215</v>
      </c>
      <c r="I1185" t="s">
        <v>299</v>
      </c>
      <c r="J1185" t="s">
        <v>300</v>
      </c>
      <c r="K1185" s="2">
        <v>14</v>
      </c>
      <c r="L1185">
        <v>24</v>
      </c>
      <c r="M1185">
        <f t="shared" si="18"/>
        <v>336</v>
      </c>
    </row>
    <row r="1186" spans="1:13">
      <c r="A1186" t="s">
        <v>297</v>
      </c>
      <c r="B1186" t="s">
        <v>298</v>
      </c>
      <c r="C1186" s="1">
        <v>39510</v>
      </c>
      <c r="D1186" t="s">
        <v>94</v>
      </c>
      <c r="E1186" t="s">
        <v>50</v>
      </c>
      <c r="F1186" t="s">
        <v>74</v>
      </c>
      <c r="G1186" t="s">
        <v>39</v>
      </c>
      <c r="H1186" t="s">
        <v>215</v>
      </c>
      <c r="I1186" t="s">
        <v>299</v>
      </c>
      <c r="J1186" t="s">
        <v>300</v>
      </c>
      <c r="K1186" s="2">
        <v>46</v>
      </c>
      <c r="L1186">
        <v>10</v>
      </c>
      <c r="M1186">
        <f t="shared" si="18"/>
        <v>460</v>
      </c>
    </row>
    <row r="1187" spans="1:13">
      <c r="A1187" t="s">
        <v>297</v>
      </c>
      <c r="B1187" t="s">
        <v>298</v>
      </c>
      <c r="C1187" s="1">
        <v>39865</v>
      </c>
      <c r="D1187" t="s">
        <v>40</v>
      </c>
      <c r="E1187" t="s">
        <v>24</v>
      </c>
      <c r="F1187" t="s">
        <v>41</v>
      </c>
      <c r="G1187" t="s">
        <v>17</v>
      </c>
      <c r="H1187" t="s">
        <v>215</v>
      </c>
      <c r="I1187" t="s">
        <v>299</v>
      </c>
      <c r="J1187" t="s">
        <v>300</v>
      </c>
      <c r="K1187" s="2">
        <v>2</v>
      </c>
      <c r="L1187">
        <v>20</v>
      </c>
      <c r="M1187">
        <f t="shared" si="18"/>
        <v>40</v>
      </c>
    </row>
    <row r="1188" spans="1:13">
      <c r="A1188" t="s">
        <v>297</v>
      </c>
      <c r="B1188" t="s">
        <v>298</v>
      </c>
      <c r="C1188" s="1">
        <v>40075</v>
      </c>
      <c r="D1188" t="s">
        <v>36</v>
      </c>
      <c r="E1188" t="s">
        <v>53</v>
      </c>
      <c r="F1188" t="s">
        <v>37</v>
      </c>
      <c r="G1188" t="s">
        <v>39</v>
      </c>
      <c r="H1188" t="s">
        <v>215</v>
      </c>
      <c r="I1188" t="s">
        <v>299</v>
      </c>
      <c r="J1188" t="s">
        <v>300</v>
      </c>
      <c r="K1188" s="2">
        <v>19</v>
      </c>
      <c r="L1188">
        <v>15</v>
      </c>
      <c r="M1188">
        <f t="shared" si="18"/>
        <v>285</v>
      </c>
    </row>
    <row r="1189" spans="1:13">
      <c r="A1189" t="s">
        <v>297</v>
      </c>
      <c r="B1189" t="s">
        <v>298</v>
      </c>
      <c r="C1189" s="1">
        <v>39827</v>
      </c>
      <c r="D1189" t="s">
        <v>111</v>
      </c>
      <c r="E1189" t="s">
        <v>15</v>
      </c>
      <c r="F1189" t="s">
        <v>37</v>
      </c>
      <c r="G1189" t="s">
        <v>17</v>
      </c>
      <c r="H1189" t="s">
        <v>215</v>
      </c>
      <c r="I1189" t="s">
        <v>299</v>
      </c>
      <c r="J1189" t="s">
        <v>300</v>
      </c>
      <c r="K1189" s="2">
        <v>14.4</v>
      </c>
      <c r="L1189">
        <v>24</v>
      </c>
      <c r="M1189">
        <f t="shared" si="18"/>
        <v>345.6</v>
      </c>
    </row>
    <row r="1190" spans="1:13">
      <c r="A1190" t="s">
        <v>297</v>
      </c>
      <c r="B1190" t="s">
        <v>298</v>
      </c>
      <c r="C1190" s="1">
        <v>39827</v>
      </c>
      <c r="D1190" t="s">
        <v>38</v>
      </c>
      <c r="E1190" t="s">
        <v>15</v>
      </c>
      <c r="F1190" t="s">
        <v>29</v>
      </c>
      <c r="G1190" t="s">
        <v>17</v>
      </c>
      <c r="H1190" t="s">
        <v>215</v>
      </c>
      <c r="I1190" t="s">
        <v>299</v>
      </c>
      <c r="J1190" t="s">
        <v>300</v>
      </c>
      <c r="K1190" s="2">
        <v>39.4</v>
      </c>
      <c r="L1190">
        <v>40</v>
      </c>
      <c r="M1190">
        <f t="shared" si="18"/>
        <v>1576</v>
      </c>
    </row>
    <row r="1191" spans="1:13">
      <c r="A1191" t="s">
        <v>297</v>
      </c>
      <c r="B1191" t="s">
        <v>298</v>
      </c>
      <c r="C1191" s="1">
        <v>39827</v>
      </c>
      <c r="D1191" t="s">
        <v>96</v>
      </c>
      <c r="E1191" t="s">
        <v>15</v>
      </c>
      <c r="F1191" t="s">
        <v>97</v>
      </c>
      <c r="G1191" t="s">
        <v>17</v>
      </c>
      <c r="H1191" t="s">
        <v>215</v>
      </c>
      <c r="I1191" t="s">
        <v>299</v>
      </c>
      <c r="J1191" t="s">
        <v>300</v>
      </c>
      <c r="K1191" s="2">
        <v>14.4</v>
      </c>
      <c r="L1191">
        <v>14</v>
      </c>
      <c r="M1191">
        <f t="shared" si="18"/>
        <v>201.6</v>
      </c>
    </row>
    <row r="1192" spans="1:13">
      <c r="A1192" t="s">
        <v>297</v>
      </c>
      <c r="B1192" t="s">
        <v>298</v>
      </c>
      <c r="C1192" s="1">
        <v>39510</v>
      </c>
      <c r="D1192" t="s">
        <v>110</v>
      </c>
      <c r="E1192" t="s">
        <v>50</v>
      </c>
      <c r="F1192" t="s">
        <v>74</v>
      </c>
      <c r="G1192" t="s">
        <v>39</v>
      </c>
      <c r="H1192" t="s">
        <v>215</v>
      </c>
      <c r="I1192" t="s">
        <v>299</v>
      </c>
      <c r="J1192" t="s">
        <v>300</v>
      </c>
      <c r="K1192" s="2">
        <v>14</v>
      </c>
      <c r="L1192">
        <v>10</v>
      </c>
      <c r="M1192">
        <f t="shared" si="18"/>
        <v>140</v>
      </c>
    </row>
    <row r="1193" spans="1:13">
      <c r="A1193" t="s">
        <v>297</v>
      </c>
      <c r="B1193" t="s">
        <v>298</v>
      </c>
      <c r="C1193" s="1">
        <v>39865</v>
      </c>
      <c r="D1193" t="s">
        <v>20</v>
      </c>
      <c r="E1193" t="s">
        <v>24</v>
      </c>
      <c r="F1193" t="s">
        <v>22</v>
      </c>
      <c r="G1193" t="s">
        <v>17</v>
      </c>
      <c r="H1193" t="s">
        <v>215</v>
      </c>
      <c r="I1193" t="s">
        <v>299</v>
      </c>
      <c r="J1193" t="s">
        <v>300</v>
      </c>
      <c r="K1193" s="2">
        <v>13.9</v>
      </c>
      <c r="L1193">
        <v>20</v>
      </c>
      <c r="M1193">
        <f t="shared" si="18"/>
        <v>278</v>
      </c>
    </row>
    <row r="1194" spans="1:13">
      <c r="A1194" t="s">
        <v>301</v>
      </c>
      <c r="B1194" t="s">
        <v>302</v>
      </c>
      <c r="C1194" s="1">
        <v>39553</v>
      </c>
      <c r="D1194" t="s">
        <v>30</v>
      </c>
      <c r="E1194" t="s">
        <v>24</v>
      </c>
      <c r="F1194" t="s">
        <v>31</v>
      </c>
      <c r="G1194" t="s">
        <v>39</v>
      </c>
      <c r="H1194" t="s">
        <v>303</v>
      </c>
      <c r="J1194" t="s">
        <v>304</v>
      </c>
      <c r="K1194" s="2">
        <v>31.23</v>
      </c>
      <c r="L1194">
        <v>12</v>
      </c>
      <c r="M1194">
        <f t="shared" si="18"/>
        <v>374.76</v>
      </c>
    </row>
    <row r="1195" spans="1:13">
      <c r="A1195" t="s">
        <v>301</v>
      </c>
      <c r="B1195" t="s">
        <v>302</v>
      </c>
      <c r="C1195" s="1">
        <v>39566</v>
      </c>
      <c r="D1195" t="s">
        <v>148</v>
      </c>
      <c r="E1195" t="s">
        <v>67</v>
      </c>
      <c r="F1195" t="s">
        <v>16</v>
      </c>
      <c r="G1195" t="s">
        <v>39</v>
      </c>
      <c r="H1195" t="s">
        <v>303</v>
      </c>
      <c r="J1195" t="s">
        <v>304</v>
      </c>
      <c r="K1195" s="2">
        <v>24</v>
      </c>
      <c r="L1195">
        <v>35</v>
      </c>
      <c r="M1195">
        <f t="shared" si="18"/>
        <v>840</v>
      </c>
    </row>
    <row r="1196" spans="1:13">
      <c r="A1196" t="s">
        <v>301</v>
      </c>
      <c r="B1196" t="s">
        <v>302</v>
      </c>
      <c r="C1196" s="1">
        <v>39747</v>
      </c>
      <c r="D1196" t="s">
        <v>43</v>
      </c>
      <c r="E1196" t="s">
        <v>21</v>
      </c>
      <c r="F1196" t="s">
        <v>41</v>
      </c>
      <c r="G1196" t="s">
        <v>17</v>
      </c>
      <c r="H1196" t="s">
        <v>303</v>
      </c>
      <c r="J1196" t="s">
        <v>304</v>
      </c>
      <c r="K1196" s="2">
        <v>28.8</v>
      </c>
      <c r="L1196">
        <v>30</v>
      </c>
      <c r="M1196">
        <f t="shared" si="18"/>
        <v>864</v>
      </c>
    </row>
    <row r="1197" spans="1:13">
      <c r="A1197" t="s">
        <v>301</v>
      </c>
      <c r="B1197" t="s">
        <v>302</v>
      </c>
      <c r="C1197" s="1">
        <v>39747</v>
      </c>
      <c r="D1197" t="s">
        <v>121</v>
      </c>
      <c r="E1197" t="s">
        <v>21</v>
      </c>
      <c r="F1197" t="s">
        <v>41</v>
      </c>
      <c r="G1197" t="s">
        <v>17</v>
      </c>
      <c r="H1197" t="s">
        <v>303</v>
      </c>
      <c r="J1197" t="s">
        <v>304</v>
      </c>
      <c r="K1197" s="2">
        <v>17.2</v>
      </c>
      <c r="L1197">
        <v>5</v>
      </c>
      <c r="M1197">
        <f t="shared" si="18"/>
        <v>86</v>
      </c>
    </row>
    <row r="1198" spans="1:13">
      <c r="A1198" t="s">
        <v>301</v>
      </c>
      <c r="B1198" t="s">
        <v>302</v>
      </c>
      <c r="C1198" s="1">
        <v>39562</v>
      </c>
      <c r="D1198" t="s">
        <v>111</v>
      </c>
      <c r="E1198" t="s">
        <v>50</v>
      </c>
      <c r="F1198" t="s">
        <v>37</v>
      </c>
      <c r="G1198" t="s">
        <v>39</v>
      </c>
      <c r="H1198" t="s">
        <v>303</v>
      </c>
      <c r="J1198" t="s">
        <v>304</v>
      </c>
      <c r="K1198" s="2">
        <v>18</v>
      </c>
      <c r="L1198">
        <v>25</v>
      </c>
      <c r="M1198">
        <f t="shared" si="18"/>
        <v>450</v>
      </c>
    </row>
    <row r="1199" spans="1:13">
      <c r="A1199" t="s">
        <v>301</v>
      </c>
      <c r="B1199" t="s">
        <v>302</v>
      </c>
      <c r="C1199" s="1">
        <v>39562</v>
      </c>
      <c r="D1199" t="s">
        <v>149</v>
      </c>
      <c r="E1199" t="s">
        <v>50</v>
      </c>
      <c r="F1199" t="s">
        <v>27</v>
      </c>
      <c r="G1199" t="s">
        <v>39</v>
      </c>
      <c r="H1199" t="s">
        <v>303</v>
      </c>
      <c r="J1199" t="s">
        <v>304</v>
      </c>
      <c r="K1199" s="2">
        <v>21.35</v>
      </c>
      <c r="L1199">
        <v>30</v>
      </c>
      <c r="M1199">
        <f t="shared" si="18"/>
        <v>640.5</v>
      </c>
    </row>
    <row r="1200" spans="1:13">
      <c r="A1200" t="s">
        <v>301</v>
      </c>
      <c r="B1200" t="s">
        <v>302</v>
      </c>
      <c r="C1200" s="1">
        <v>39814</v>
      </c>
      <c r="D1200" t="s">
        <v>44</v>
      </c>
      <c r="E1200" t="s">
        <v>21</v>
      </c>
      <c r="F1200" t="s">
        <v>45</v>
      </c>
      <c r="G1200" t="s">
        <v>17</v>
      </c>
      <c r="H1200" t="s">
        <v>303</v>
      </c>
      <c r="J1200" t="s">
        <v>304</v>
      </c>
      <c r="K1200" s="2">
        <v>14.4</v>
      </c>
      <c r="L1200">
        <v>35</v>
      </c>
      <c r="M1200">
        <f t="shared" si="18"/>
        <v>504</v>
      </c>
    </row>
    <row r="1201" spans="1:13">
      <c r="A1201" t="s">
        <v>301</v>
      </c>
      <c r="B1201" t="s">
        <v>302</v>
      </c>
      <c r="C1201" s="1">
        <v>39814</v>
      </c>
      <c r="D1201" t="s">
        <v>119</v>
      </c>
      <c r="E1201" t="s">
        <v>21</v>
      </c>
      <c r="F1201" t="s">
        <v>97</v>
      </c>
      <c r="G1201" t="s">
        <v>17</v>
      </c>
      <c r="H1201" t="s">
        <v>303</v>
      </c>
      <c r="J1201" t="s">
        <v>304</v>
      </c>
      <c r="K1201" s="2">
        <v>16</v>
      </c>
      <c r="L1201">
        <v>30</v>
      </c>
      <c r="M1201">
        <f t="shared" si="18"/>
        <v>480</v>
      </c>
    </row>
    <row r="1202" spans="1:13">
      <c r="A1202" t="s">
        <v>301</v>
      </c>
      <c r="B1202" t="s">
        <v>302</v>
      </c>
      <c r="C1202" s="1">
        <v>39538</v>
      </c>
      <c r="D1202" t="s">
        <v>94</v>
      </c>
      <c r="E1202" t="s">
        <v>67</v>
      </c>
      <c r="F1202" t="s">
        <v>74</v>
      </c>
      <c r="G1202" t="s">
        <v>39</v>
      </c>
      <c r="H1202" t="s">
        <v>303</v>
      </c>
      <c r="J1202" t="s">
        <v>304</v>
      </c>
      <c r="K1202" s="2">
        <v>46</v>
      </c>
      <c r="L1202">
        <v>6</v>
      </c>
      <c r="M1202">
        <f t="shared" si="18"/>
        <v>276</v>
      </c>
    </row>
    <row r="1203" spans="1:13">
      <c r="A1203" t="s">
        <v>301</v>
      </c>
      <c r="B1203" t="s">
        <v>302</v>
      </c>
      <c r="C1203" s="1">
        <v>39566</v>
      </c>
      <c r="D1203" t="s">
        <v>87</v>
      </c>
      <c r="E1203" t="s">
        <v>67</v>
      </c>
      <c r="F1203" t="s">
        <v>25</v>
      </c>
      <c r="G1203" t="s">
        <v>39</v>
      </c>
      <c r="H1203" t="s">
        <v>303</v>
      </c>
      <c r="J1203" t="s">
        <v>304</v>
      </c>
      <c r="K1203" s="2">
        <v>30</v>
      </c>
      <c r="L1203">
        <v>40</v>
      </c>
      <c r="M1203">
        <f t="shared" si="18"/>
        <v>1200</v>
      </c>
    </row>
    <row r="1204" spans="1:13">
      <c r="A1204" t="s">
        <v>301</v>
      </c>
      <c r="B1204" t="s">
        <v>302</v>
      </c>
      <c r="C1204" s="1">
        <v>39553</v>
      </c>
      <c r="D1204" t="s">
        <v>40</v>
      </c>
      <c r="E1204" t="s">
        <v>24</v>
      </c>
      <c r="F1204" t="s">
        <v>41</v>
      </c>
      <c r="G1204" t="s">
        <v>39</v>
      </c>
      <c r="H1204" t="s">
        <v>303</v>
      </c>
      <c r="J1204" t="s">
        <v>304</v>
      </c>
      <c r="K1204" s="2">
        <v>2.5</v>
      </c>
      <c r="L1204">
        <v>30</v>
      </c>
      <c r="M1204">
        <f t="shared" si="18"/>
        <v>75</v>
      </c>
    </row>
    <row r="1205" spans="1:13">
      <c r="A1205" t="s">
        <v>301</v>
      </c>
      <c r="B1205" t="s">
        <v>302</v>
      </c>
      <c r="C1205" s="1">
        <v>39553</v>
      </c>
      <c r="D1205" t="s">
        <v>95</v>
      </c>
      <c r="E1205" t="s">
        <v>24</v>
      </c>
      <c r="F1205" t="s">
        <v>27</v>
      </c>
      <c r="G1205" t="s">
        <v>39</v>
      </c>
      <c r="H1205" t="s">
        <v>303</v>
      </c>
      <c r="J1205" t="s">
        <v>304</v>
      </c>
      <c r="K1205" s="2">
        <v>21.05</v>
      </c>
      <c r="L1205">
        <v>21</v>
      </c>
      <c r="M1205">
        <f t="shared" si="18"/>
        <v>442.05</v>
      </c>
    </row>
    <row r="1206" spans="1:13">
      <c r="A1206" t="s">
        <v>301</v>
      </c>
      <c r="B1206" t="s">
        <v>302</v>
      </c>
      <c r="C1206" s="1">
        <v>39942</v>
      </c>
      <c r="D1206" t="s">
        <v>152</v>
      </c>
      <c r="E1206" t="s">
        <v>50</v>
      </c>
      <c r="F1206" t="s">
        <v>27</v>
      </c>
      <c r="G1206" t="s">
        <v>17</v>
      </c>
      <c r="H1206" t="s">
        <v>303</v>
      </c>
      <c r="J1206" t="s">
        <v>304</v>
      </c>
      <c r="K1206" s="2">
        <v>17</v>
      </c>
      <c r="L1206">
        <v>24</v>
      </c>
      <c r="M1206">
        <f t="shared" si="18"/>
        <v>408</v>
      </c>
    </row>
    <row r="1207" spans="1:13">
      <c r="A1207" t="s">
        <v>301</v>
      </c>
      <c r="B1207" t="s">
        <v>302</v>
      </c>
      <c r="C1207" s="1">
        <v>40089</v>
      </c>
      <c r="D1207" t="s">
        <v>26</v>
      </c>
      <c r="E1207" t="s">
        <v>24</v>
      </c>
      <c r="F1207" t="s">
        <v>27</v>
      </c>
      <c r="G1207" t="s">
        <v>17</v>
      </c>
      <c r="H1207" t="s">
        <v>303</v>
      </c>
      <c r="J1207" t="s">
        <v>304</v>
      </c>
      <c r="K1207" s="2">
        <v>22</v>
      </c>
      <c r="L1207">
        <v>25</v>
      </c>
      <c r="M1207">
        <f t="shared" si="18"/>
        <v>550</v>
      </c>
    </row>
    <row r="1208" spans="1:13">
      <c r="A1208" t="s">
        <v>301</v>
      </c>
      <c r="B1208" t="s">
        <v>302</v>
      </c>
      <c r="C1208" s="1">
        <v>40089</v>
      </c>
      <c r="D1208" t="s">
        <v>131</v>
      </c>
      <c r="E1208" t="s">
        <v>24</v>
      </c>
      <c r="F1208" t="s">
        <v>132</v>
      </c>
      <c r="G1208" t="s">
        <v>17</v>
      </c>
      <c r="H1208" t="s">
        <v>303</v>
      </c>
      <c r="J1208" t="s">
        <v>304</v>
      </c>
      <c r="K1208" s="2">
        <v>21</v>
      </c>
      <c r="L1208">
        <v>5</v>
      </c>
      <c r="M1208">
        <f t="shared" si="18"/>
        <v>105</v>
      </c>
    </row>
    <row r="1209" spans="1:13">
      <c r="A1209" t="s">
        <v>301</v>
      </c>
      <c r="B1209" t="s">
        <v>302</v>
      </c>
      <c r="C1209" s="1">
        <v>39814</v>
      </c>
      <c r="D1209" t="s">
        <v>88</v>
      </c>
      <c r="E1209" t="s">
        <v>21</v>
      </c>
      <c r="F1209" t="s">
        <v>51</v>
      </c>
      <c r="G1209" t="s">
        <v>17</v>
      </c>
      <c r="H1209" t="s">
        <v>303</v>
      </c>
      <c r="J1209" t="s">
        <v>304</v>
      </c>
      <c r="K1209" s="2">
        <v>99</v>
      </c>
      <c r="L1209">
        <v>21</v>
      </c>
      <c r="M1209">
        <f t="shared" si="18"/>
        <v>2079</v>
      </c>
    </row>
    <row r="1210" spans="1:13">
      <c r="A1210" t="s">
        <v>301</v>
      </c>
      <c r="B1210" t="s">
        <v>302</v>
      </c>
      <c r="C1210" s="1">
        <v>39566</v>
      </c>
      <c r="D1210" t="s">
        <v>86</v>
      </c>
      <c r="E1210" t="s">
        <v>67</v>
      </c>
      <c r="F1210" t="s">
        <v>54</v>
      </c>
      <c r="G1210" t="s">
        <v>39</v>
      </c>
      <c r="H1210" t="s">
        <v>303</v>
      </c>
      <c r="J1210" t="s">
        <v>304</v>
      </c>
      <c r="K1210" s="2">
        <v>34</v>
      </c>
      <c r="L1210">
        <v>50</v>
      </c>
      <c r="M1210">
        <f t="shared" si="18"/>
        <v>1700</v>
      </c>
    </row>
    <row r="1211" spans="1:13">
      <c r="A1211" t="s">
        <v>301</v>
      </c>
      <c r="B1211" t="s">
        <v>302</v>
      </c>
      <c r="C1211" s="1">
        <v>39553</v>
      </c>
      <c r="D1211" t="s">
        <v>121</v>
      </c>
      <c r="E1211" t="s">
        <v>24</v>
      </c>
      <c r="F1211" t="s">
        <v>41</v>
      </c>
      <c r="G1211" t="s">
        <v>39</v>
      </c>
      <c r="H1211" t="s">
        <v>303</v>
      </c>
      <c r="J1211" t="s">
        <v>304</v>
      </c>
      <c r="K1211" s="2">
        <v>21.5</v>
      </c>
      <c r="L1211">
        <v>50</v>
      </c>
      <c r="M1211">
        <f t="shared" si="18"/>
        <v>1075</v>
      </c>
    </row>
    <row r="1212" spans="1:13">
      <c r="A1212" t="s">
        <v>301</v>
      </c>
      <c r="B1212" t="s">
        <v>302</v>
      </c>
      <c r="C1212" s="1">
        <v>39942</v>
      </c>
      <c r="D1212" t="s">
        <v>83</v>
      </c>
      <c r="E1212" t="s">
        <v>50</v>
      </c>
      <c r="F1212" t="s">
        <v>84</v>
      </c>
      <c r="G1212" t="s">
        <v>17</v>
      </c>
      <c r="H1212" t="s">
        <v>303</v>
      </c>
      <c r="J1212" t="s">
        <v>304</v>
      </c>
      <c r="K1212" s="2">
        <v>25.89</v>
      </c>
      <c r="L1212">
        <v>15</v>
      </c>
      <c r="M1212">
        <f t="shared" si="18"/>
        <v>388.35</v>
      </c>
    </row>
    <row r="1213" spans="1:13">
      <c r="A1213" t="s">
        <v>301</v>
      </c>
      <c r="B1213" t="s">
        <v>302</v>
      </c>
      <c r="C1213" s="1">
        <v>39538</v>
      </c>
      <c r="D1213" t="s">
        <v>87</v>
      </c>
      <c r="E1213" t="s">
        <v>67</v>
      </c>
      <c r="F1213" t="s">
        <v>25</v>
      </c>
      <c r="G1213" t="s">
        <v>39</v>
      </c>
      <c r="H1213" t="s">
        <v>303</v>
      </c>
      <c r="J1213" t="s">
        <v>304</v>
      </c>
      <c r="K1213" s="2">
        <v>30</v>
      </c>
      <c r="L1213">
        <v>60</v>
      </c>
      <c r="M1213">
        <f t="shared" si="18"/>
        <v>1800</v>
      </c>
    </row>
    <row r="1214" spans="1:13">
      <c r="A1214" t="s">
        <v>301</v>
      </c>
      <c r="B1214" t="s">
        <v>302</v>
      </c>
      <c r="C1214" s="1">
        <v>39538</v>
      </c>
      <c r="D1214" t="s">
        <v>75</v>
      </c>
      <c r="E1214" t="s">
        <v>67</v>
      </c>
      <c r="F1214" t="s">
        <v>76</v>
      </c>
      <c r="G1214" t="s">
        <v>39</v>
      </c>
      <c r="H1214" t="s">
        <v>303</v>
      </c>
      <c r="J1214" t="s">
        <v>304</v>
      </c>
      <c r="K1214" s="2">
        <v>34.799999999999997</v>
      </c>
      <c r="L1214">
        <v>20</v>
      </c>
      <c r="M1214">
        <f t="shared" si="18"/>
        <v>696</v>
      </c>
    </row>
    <row r="1215" spans="1:13">
      <c r="A1215" t="s">
        <v>305</v>
      </c>
      <c r="B1215" t="s">
        <v>306</v>
      </c>
      <c r="C1215" s="1">
        <v>40040</v>
      </c>
      <c r="D1215" t="s">
        <v>87</v>
      </c>
      <c r="E1215" t="s">
        <v>24</v>
      </c>
      <c r="F1215" t="s">
        <v>25</v>
      </c>
      <c r="G1215" t="s">
        <v>17</v>
      </c>
      <c r="H1215" t="s">
        <v>243</v>
      </c>
      <c r="J1215" t="s">
        <v>307</v>
      </c>
      <c r="K1215" s="2">
        <v>30</v>
      </c>
      <c r="L1215">
        <v>35</v>
      </c>
      <c r="M1215">
        <f t="shared" si="18"/>
        <v>1050</v>
      </c>
    </row>
    <row r="1216" spans="1:13">
      <c r="A1216" t="s">
        <v>305</v>
      </c>
      <c r="B1216" t="s">
        <v>306</v>
      </c>
      <c r="C1216" s="1">
        <v>40059</v>
      </c>
      <c r="D1216" t="s">
        <v>117</v>
      </c>
      <c r="E1216" t="s">
        <v>15</v>
      </c>
      <c r="F1216" t="s">
        <v>118</v>
      </c>
      <c r="G1216" t="s">
        <v>39</v>
      </c>
      <c r="H1216" t="s">
        <v>243</v>
      </c>
      <c r="J1216" t="s">
        <v>307</v>
      </c>
      <c r="K1216" s="2">
        <v>21</v>
      </c>
      <c r="L1216">
        <v>6</v>
      </c>
      <c r="M1216">
        <f t="shared" si="18"/>
        <v>126</v>
      </c>
    </row>
    <row r="1217" spans="1:13">
      <c r="A1217" t="s">
        <v>305</v>
      </c>
      <c r="B1217" t="s">
        <v>306</v>
      </c>
      <c r="C1217" s="1">
        <v>40040</v>
      </c>
      <c r="D1217" t="s">
        <v>42</v>
      </c>
      <c r="E1217" t="s">
        <v>24</v>
      </c>
      <c r="F1217" t="s">
        <v>22</v>
      </c>
      <c r="G1217" t="s">
        <v>17</v>
      </c>
      <c r="H1217" t="s">
        <v>243</v>
      </c>
      <c r="J1217" t="s">
        <v>307</v>
      </c>
      <c r="K1217" s="2">
        <v>62.5</v>
      </c>
      <c r="L1217">
        <v>50</v>
      </c>
      <c r="M1217">
        <f t="shared" si="18"/>
        <v>3125</v>
      </c>
    </row>
    <row r="1218" spans="1:13">
      <c r="A1218" t="s">
        <v>305</v>
      </c>
      <c r="B1218" t="s">
        <v>306</v>
      </c>
      <c r="C1218" s="1">
        <v>39821</v>
      </c>
      <c r="D1218" t="s">
        <v>14</v>
      </c>
      <c r="E1218" t="s">
        <v>67</v>
      </c>
      <c r="F1218" t="s">
        <v>16</v>
      </c>
      <c r="G1218" t="s">
        <v>17</v>
      </c>
      <c r="H1218" t="s">
        <v>243</v>
      </c>
      <c r="J1218" t="s">
        <v>307</v>
      </c>
      <c r="K1218" s="2">
        <v>5.9</v>
      </c>
      <c r="L1218">
        <v>6</v>
      </c>
      <c r="M1218">
        <f t="shared" si="18"/>
        <v>35.400000000000006</v>
      </c>
    </row>
    <row r="1219" spans="1:13">
      <c r="A1219" t="s">
        <v>305</v>
      </c>
      <c r="B1219" t="s">
        <v>306</v>
      </c>
      <c r="C1219" s="1">
        <v>40040</v>
      </c>
      <c r="D1219" t="s">
        <v>71</v>
      </c>
      <c r="E1219" t="s">
        <v>24</v>
      </c>
      <c r="F1219" t="s">
        <v>51</v>
      </c>
      <c r="G1219" t="s">
        <v>17</v>
      </c>
      <c r="H1219" t="s">
        <v>243</v>
      </c>
      <c r="J1219" t="s">
        <v>307</v>
      </c>
      <c r="K1219" s="2">
        <v>7.75</v>
      </c>
      <c r="L1219">
        <v>2</v>
      </c>
      <c r="M1219">
        <f t="shared" ref="M1219:M1282" si="19">K1219*L1219</f>
        <v>15.5</v>
      </c>
    </row>
    <row r="1220" spans="1:13">
      <c r="A1220" t="s">
        <v>305</v>
      </c>
      <c r="B1220" t="s">
        <v>306</v>
      </c>
      <c r="C1220" s="1">
        <v>40059</v>
      </c>
      <c r="D1220" t="s">
        <v>98</v>
      </c>
      <c r="E1220" t="s">
        <v>15</v>
      </c>
      <c r="F1220" t="s">
        <v>99</v>
      </c>
      <c r="G1220" t="s">
        <v>39</v>
      </c>
      <c r="H1220" t="s">
        <v>243</v>
      </c>
      <c r="J1220" t="s">
        <v>307</v>
      </c>
      <c r="K1220" s="2">
        <v>4.5</v>
      </c>
      <c r="L1220">
        <v>20</v>
      </c>
      <c r="M1220">
        <f t="shared" si="19"/>
        <v>90</v>
      </c>
    </row>
    <row r="1221" spans="1:13">
      <c r="A1221" t="s">
        <v>305</v>
      </c>
      <c r="B1221" t="s">
        <v>306</v>
      </c>
      <c r="C1221" s="1">
        <v>39821</v>
      </c>
      <c r="D1221" t="s">
        <v>135</v>
      </c>
      <c r="E1221" t="s">
        <v>67</v>
      </c>
      <c r="F1221" t="s">
        <v>58</v>
      </c>
      <c r="G1221" t="s">
        <v>17</v>
      </c>
      <c r="H1221" t="s">
        <v>243</v>
      </c>
      <c r="J1221" t="s">
        <v>307</v>
      </c>
      <c r="K1221" s="2">
        <v>20.8</v>
      </c>
      <c r="L1221">
        <v>10</v>
      </c>
      <c r="M1221">
        <f t="shared" si="19"/>
        <v>208</v>
      </c>
    </row>
    <row r="1222" spans="1:13">
      <c r="A1222" t="s">
        <v>305</v>
      </c>
      <c r="B1222" t="s">
        <v>306</v>
      </c>
      <c r="C1222" s="1">
        <v>39821</v>
      </c>
      <c r="D1222" t="s">
        <v>38</v>
      </c>
      <c r="E1222" t="s">
        <v>67</v>
      </c>
      <c r="F1222" t="s">
        <v>29</v>
      </c>
      <c r="G1222" t="s">
        <v>17</v>
      </c>
      <c r="H1222" t="s">
        <v>243</v>
      </c>
      <c r="J1222" t="s">
        <v>307</v>
      </c>
      <c r="K1222" s="2">
        <v>39.4</v>
      </c>
      <c r="L1222">
        <v>35</v>
      </c>
      <c r="M1222">
        <f t="shared" si="19"/>
        <v>1379</v>
      </c>
    </row>
    <row r="1223" spans="1:13">
      <c r="A1223" t="s">
        <v>305</v>
      </c>
      <c r="B1223" t="s">
        <v>306</v>
      </c>
      <c r="C1223" s="1">
        <v>40078</v>
      </c>
      <c r="D1223" t="s">
        <v>42</v>
      </c>
      <c r="E1223" t="s">
        <v>21</v>
      </c>
      <c r="F1223" t="s">
        <v>22</v>
      </c>
      <c r="G1223" t="s">
        <v>39</v>
      </c>
      <c r="H1223" t="s">
        <v>243</v>
      </c>
      <c r="J1223" t="s">
        <v>307</v>
      </c>
      <c r="K1223" s="2">
        <v>62.5</v>
      </c>
      <c r="L1223">
        <v>30</v>
      </c>
      <c r="M1223">
        <f t="shared" si="19"/>
        <v>1875</v>
      </c>
    </row>
    <row r="1224" spans="1:13">
      <c r="A1224" t="s">
        <v>305</v>
      </c>
      <c r="B1224" t="s">
        <v>306</v>
      </c>
      <c r="C1224" s="1">
        <v>40059</v>
      </c>
      <c r="D1224" t="s">
        <v>34</v>
      </c>
      <c r="E1224" t="s">
        <v>15</v>
      </c>
      <c r="F1224" t="s">
        <v>35</v>
      </c>
      <c r="G1224" t="s">
        <v>39</v>
      </c>
      <c r="H1224" t="s">
        <v>243</v>
      </c>
      <c r="J1224" t="s">
        <v>307</v>
      </c>
      <c r="K1224" s="2">
        <v>10</v>
      </c>
      <c r="L1224">
        <v>40</v>
      </c>
      <c r="M1224">
        <f t="shared" si="19"/>
        <v>400</v>
      </c>
    </row>
    <row r="1225" spans="1:13">
      <c r="A1225" t="s">
        <v>305</v>
      </c>
      <c r="B1225" t="s">
        <v>306</v>
      </c>
      <c r="C1225" s="1">
        <v>40040</v>
      </c>
      <c r="D1225" t="s">
        <v>85</v>
      </c>
      <c r="E1225" t="s">
        <v>24</v>
      </c>
      <c r="F1225" t="s">
        <v>33</v>
      </c>
      <c r="G1225" t="s">
        <v>17</v>
      </c>
      <c r="H1225" t="s">
        <v>243</v>
      </c>
      <c r="J1225" t="s">
        <v>307</v>
      </c>
      <c r="K1225" s="2">
        <v>53</v>
      </c>
      <c r="L1225">
        <v>15</v>
      </c>
      <c r="M1225">
        <f t="shared" si="19"/>
        <v>795</v>
      </c>
    </row>
    <row r="1226" spans="1:13">
      <c r="A1226" t="s">
        <v>305</v>
      </c>
      <c r="B1226" t="s">
        <v>306</v>
      </c>
      <c r="C1226" s="1">
        <v>40078</v>
      </c>
      <c r="D1226" t="s">
        <v>72</v>
      </c>
      <c r="E1226" t="s">
        <v>21</v>
      </c>
      <c r="F1226" t="s">
        <v>22</v>
      </c>
      <c r="G1226" t="s">
        <v>39</v>
      </c>
      <c r="H1226" t="s">
        <v>243</v>
      </c>
      <c r="J1226" t="s">
        <v>307</v>
      </c>
      <c r="K1226" s="2">
        <v>43.9</v>
      </c>
      <c r="L1226">
        <v>30</v>
      </c>
      <c r="M1226">
        <f t="shared" si="19"/>
        <v>1317</v>
      </c>
    </row>
    <row r="1227" spans="1:13">
      <c r="A1227" t="s">
        <v>305</v>
      </c>
      <c r="B1227" t="s">
        <v>306</v>
      </c>
      <c r="C1227" s="1">
        <v>39892</v>
      </c>
      <c r="D1227" t="s">
        <v>52</v>
      </c>
      <c r="E1227" t="s">
        <v>89</v>
      </c>
      <c r="F1227" t="s">
        <v>54</v>
      </c>
      <c r="G1227" t="s">
        <v>17</v>
      </c>
      <c r="H1227" t="s">
        <v>243</v>
      </c>
      <c r="J1227" t="s">
        <v>307</v>
      </c>
      <c r="K1227" s="2">
        <v>44</v>
      </c>
      <c r="L1227">
        <v>12</v>
      </c>
      <c r="M1227">
        <f t="shared" si="19"/>
        <v>528</v>
      </c>
    </row>
    <row r="1228" spans="1:13">
      <c r="A1228" t="s">
        <v>305</v>
      </c>
      <c r="B1228" t="s">
        <v>306</v>
      </c>
      <c r="C1228" s="1">
        <v>40078</v>
      </c>
      <c r="D1228" t="s">
        <v>82</v>
      </c>
      <c r="E1228" t="s">
        <v>21</v>
      </c>
      <c r="F1228" t="s">
        <v>35</v>
      </c>
      <c r="G1228" t="s">
        <v>39</v>
      </c>
      <c r="H1228" t="s">
        <v>243</v>
      </c>
      <c r="J1228" t="s">
        <v>307</v>
      </c>
      <c r="K1228" s="2">
        <v>12.5</v>
      </c>
      <c r="L1228">
        <v>18</v>
      </c>
      <c r="M1228">
        <f t="shared" si="19"/>
        <v>225</v>
      </c>
    </row>
    <row r="1229" spans="1:13">
      <c r="A1229" t="s">
        <v>305</v>
      </c>
      <c r="B1229" t="s">
        <v>306</v>
      </c>
      <c r="C1229" s="1">
        <v>40078</v>
      </c>
      <c r="D1229" t="s">
        <v>44</v>
      </c>
      <c r="E1229" t="s">
        <v>21</v>
      </c>
      <c r="F1229" t="s">
        <v>45</v>
      </c>
      <c r="G1229" t="s">
        <v>39</v>
      </c>
      <c r="H1229" t="s">
        <v>243</v>
      </c>
      <c r="J1229" t="s">
        <v>307</v>
      </c>
      <c r="K1229" s="2">
        <v>18</v>
      </c>
      <c r="L1229">
        <v>15</v>
      </c>
      <c r="M1229">
        <f t="shared" si="19"/>
        <v>270</v>
      </c>
    </row>
    <row r="1230" spans="1:13">
      <c r="A1230" t="s">
        <v>305</v>
      </c>
      <c r="B1230" t="s">
        <v>306</v>
      </c>
      <c r="C1230" s="1">
        <v>39892</v>
      </c>
      <c r="D1230" t="s">
        <v>170</v>
      </c>
      <c r="E1230" t="s">
        <v>89</v>
      </c>
      <c r="F1230" t="s">
        <v>101</v>
      </c>
      <c r="G1230" t="s">
        <v>17</v>
      </c>
      <c r="H1230" t="s">
        <v>243</v>
      </c>
      <c r="J1230" t="s">
        <v>307</v>
      </c>
      <c r="K1230" s="2">
        <v>7.6</v>
      </c>
      <c r="L1230">
        <v>30</v>
      </c>
      <c r="M1230">
        <f t="shared" si="19"/>
        <v>228</v>
      </c>
    </row>
    <row r="1231" spans="1:13">
      <c r="A1231" t="s">
        <v>308</v>
      </c>
      <c r="B1231" t="s">
        <v>309</v>
      </c>
      <c r="C1231" s="1">
        <v>40106</v>
      </c>
      <c r="D1231" t="s">
        <v>170</v>
      </c>
      <c r="E1231" t="s">
        <v>21</v>
      </c>
      <c r="F1231" t="s">
        <v>101</v>
      </c>
      <c r="G1231" t="s">
        <v>17</v>
      </c>
      <c r="H1231" t="s">
        <v>145</v>
      </c>
      <c r="J1231" t="s">
        <v>310</v>
      </c>
      <c r="K1231" s="2">
        <v>9.5</v>
      </c>
      <c r="L1231">
        <v>5</v>
      </c>
      <c r="M1231">
        <f t="shared" si="19"/>
        <v>47.5</v>
      </c>
    </row>
    <row r="1232" spans="1:13">
      <c r="A1232" t="s">
        <v>308</v>
      </c>
      <c r="B1232" t="s">
        <v>309</v>
      </c>
      <c r="C1232" s="1">
        <v>39476</v>
      </c>
      <c r="D1232" t="s">
        <v>85</v>
      </c>
      <c r="E1232" t="s">
        <v>15</v>
      </c>
      <c r="F1232" t="s">
        <v>33</v>
      </c>
      <c r="G1232" t="s">
        <v>39</v>
      </c>
      <c r="H1232" t="s">
        <v>145</v>
      </c>
      <c r="J1232" t="s">
        <v>310</v>
      </c>
      <c r="K1232" s="2">
        <v>53</v>
      </c>
      <c r="L1232">
        <v>3</v>
      </c>
      <c r="M1232">
        <f t="shared" si="19"/>
        <v>159</v>
      </c>
    </row>
    <row r="1233" spans="1:13">
      <c r="A1233" t="s">
        <v>308</v>
      </c>
      <c r="B1233" t="s">
        <v>309</v>
      </c>
      <c r="C1233" s="1">
        <v>39476</v>
      </c>
      <c r="D1233" t="s">
        <v>96</v>
      </c>
      <c r="E1233" t="s">
        <v>15</v>
      </c>
      <c r="F1233" t="s">
        <v>97</v>
      </c>
      <c r="G1233" t="s">
        <v>39</v>
      </c>
      <c r="H1233" t="s">
        <v>145</v>
      </c>
      <c r="J1233" t="s">
        <v>310</v>
      </c>
      <c r="K1233" s="2">
        <v>18</v>
      </c>
      <c r="L1233">
        <v>20</v>
      </c>
      <c r="M1233">
        <f t="shared" si="19"/>
        <v>360</v>
      </c>
    </row>
    <row r="1234" spans="1:13">
      <c r="A1234" t="s">
        <v>308</v>
      </c>
      <c r="B1234" t="s">
        <v>309</v>
      </c>
      <c r="C1234" s="1">
        <v>39553</v>
      </c>
      <c r="D1234" t="s">
        <v>85</v>
      </c>
      <c r="E1234" t="s">
        <v>24</v>
      </c>
      <c r="F1234" t="s">
        <v>33</v>
      </c>
      <c r="G1234" t="s">
        <v>39</v>
      </c>
      <c r="H1234" t="s">
        <v>145</v>
      </c>
      <c r="J1234" t="s">
        <v>310</v>
      </c>
      <c r="K1234" s="2">
        <v>53</v>
      </c>
      <c r="L1234">
        <v>10</v>
      </c>
      <c r="M1234">
        <f t="shared" si="19"/>
        <v>530</v>
      </c>
    </row>
    <row r="1235" spans="1:13">
      <c r="A1235" t="s">
        <v>308</v>
      </c>
      <c r="B1235" t="s">
        <v>309</v>
      </c>
      <c r="C1235" s="1">
        <v>40073</v>
      </c>
      <c r="D1235" t="s">
        <v>20</v>
      </c>
      <c r="E1235" t="s">
        <v>21</v>
      </c>
      <c r="F1235" t="s">
        <v>22</v>
      </c>
      <c r="G1235" t="s">
        <v>17</v>
      </c>
      <c r="H1235" t="s">
        <v>145</v>
      </c>
      <c r="J1235" t="s">
        <v>310</v>
      </c>
      <c r="K1235" s="2">
        <v>17.45</v>
      </c>
      <c r="L1235">
        <v>10</v>
      </c>
      <c r="M1235">
        <f t="shared" si="19"/>
        <v>174.5</v>
      </c>
    </row>
    <row r="1236" spans="1:13">
      <c r="A1236" t="s">
        <v>308</v>
      </c>
      <c r="B1236" t="s">
        <v>309</v>
      </c>
      <c r="C1236" s="1">
        <v>39568</v>
      </c>
      <c r="D1236" t="s">
        <v>49</v>
      </c>
      <c r="E1236" t="s">
        <v>53</v>
      </c>
      <c r="F1236" t="s">
        <v>51</v>
      </c>
      <c r="G1236" t="s">
        <v>39</v>
      </c>
      <c r="H1236" t="s">
        <v>145</v>
      </c>
      <c r="J1236" t="s">
        <v>310</v>
      </c>
      <c r="K1236" s="2">
        <v>13</v>
      </c>
      <c r="L1236">
        <v>10</v>
      </c>
      <c r="M1236">
        <f t="shared" si="19"/>
        <v>130</v>
      </c>
    </row>
    <row r="1237" spans="1:13">
      <c r="A1237" t="s">
        <v>308</v>
      </c>
      <c r="B1237" t="s">
        <v>309</v>
      </c>
      <c r="C1237" s="1">
        <v>40073</v>
      </c>
      <c r="D1237" t="s">
        <v>38</v>
      </c>
      <c r="E1237" t="s">
        <v>21</v>
      </c>
      <c r="F1237" t="s">
        <v>29</v>
      </c>
      <c r="G1237" t="s">
        <v>17</v>
      </c>
      <c r="H1237" t="s">
        <v>145</v>
      </c>
      <c r="J1237" t="s">
        <v>310</v>
      </c>
      <c r="K1237" s="2">
        <v>49.3</v>
      </c>
      <c r="L1237">
        <v>10</v>
      </c>
      <c r="M1237">
        <f t="shared" si="19"/>
        <v>493</v>
      </c>
    </row>
    <row r="1238" spans="1:13">
      <c r="A1238" t="s">
        <v>308</v>
      </c>
      <c r="B1238" t="s">
        <v>309</v>
      </c>
      <c r="C1238" s="1">
        <v>39553</v>
      </c>
      <c r="D1238" t="s">
        <v>42</v>
      </c>
      <c r="E1238" t="s">
        <v>24</v>
      </c>
      <c r="F1238" t="s">
        <v>22</v>
      </c>
      <c r="G1238" t="s">
        <v>39</v>
      </c>
      <c r="H1238" t="s">
        <v>145</v>
      </c>
      <c r="J1238" t="s">
        <v>310</v>
      </c>
      <c r="K1238" s="2">
        <v>62.5</v>
      </c>
      <c r="L1238">
        <v>8</v>
      </c>
      <c r="M1238">
        <f t="shared" si="19"/>
        <v>500</v>
      </c>
    </row>
    <row r="1239" spans="1:13">
      <c r="A1239" t="s">
        <v>308</v>
      </c>
      <c r="B1239" t="s">
        <v>309</v>
      </c>
      <c r="C1239" s="1">
        <v>39835</v>
      </c>
      <c r="D1239" t="s">
        <v>30</v>
      </c>
      <c r="E1239" t="s">
        <v>53</v>
      </c>
      <c r="F1239" t="s">
        <v>31</v>
      </c>
      <c r="G1239" t="s">
        <v>17</v>
      </c>
      <c r="H1239" t="s">
        <v>145</v>
      </c>
      <c r="J1239" t="s">
        <v>310</v>
      </c>
      <c r="K1239" s="2">
        <v>24.9</v>
      </c>
      <c r="L1239">
        <v>2</v>
      </c>
      <c r="M1239">
        <f t="shared" si="19"/>
        <v>49.8</v>
      </c>
    </row>
    <row r="1240" spans="1:13">
      <c r="A1240" t="s">
        <v>308</v>
      </c>
      <c r="B1240" t="s">
        <v>309</v>
      </c>
      <c r="C1240" s="1">
        <v>40058</v>
      </c>
      <c r="D1240" t="s">
        <v>185</v>
      </c>
      <c r="E1240" t="s">
        <v>24</v>
      </c>
      <c r="F1240" t="s">
        <v>134</v>
      </c>
      <c r="G1240" t="s">
        <v>39</v>
      </c>
      <c r="H1240" t="s">
        <v>145</v>
      </c>
      <c r="J1240" t="s">
        <v>310</v>
      </c>
      <c r="K1240" s="2">
        <v>18.399999999999999</v>
      </c>
      <c r="L1240">
        <v>1</v>
      </c>
      <c r="M1240">
        <f t="shared" si="19"/>
        <v>18.399999999999999</v>
      </c>
    </row>
    <row r="1241" spans="1:13">
      <c r="A1241" t="s">
        <v>308</v>
      </c>
      <c r="B1241" t="s">
        <v>309</v>
      </c>
      <c r="C1241" s="1">
        <v>40111</v>
      </c>
      <c r="D1241" t="s">
        <v>60</v>
      </c>
      <c r="E1241" t="s">
        <v>15</v>
      </c>
      <c r="F1241" t="s">
        <v>61</v>
      </c>
      <c r="G1241" t="s">
        <v>39</v>
      </c>
      <c r="H1241" t="s">
        <v>145</v>
      </c>
      <c r="J1241" t="s">
        <v>310</v>
      </c>
      <c r="K1241" s="2">
        <v>9.5</v>
      </c>
      <c r="L1241">
        <v>4</v>
      </c>
      <c r="M1241">
        <f t="shared" si="19"/>
        <v>38</v>
      </c>
    </row>
    <row r="1242" spans="1:13">
      <c r="A1242" t="s">
        <v>308</v>
      </c>
      <c r="B1242" t="s">
        <v>309</v>
      </c>
      <c r="C1242" s="1">
        <v>39568</v>
      </c>
      <c r="D1242" t="s">
        <v>86</v>
      </c>
      <c r="E1242" t="s">
        <v>53</v>
      </c>
      <c r="F1242" t="s">
        <v>54</v>
      </c>
      <c r="G1242" t="s">
        <v>39</v>
      </c>
      <c r="H1242" t="s">
        <v>145</v>
      </c>
      <c r="J1242" t="s">
        <v>310</v>
      </c>
      <c r="K1242" s="2">
        <v>34</v>
      </c>
      <c r="L1242">
        <v>4</v>
      </c>
      <c r="M1242">
        <f t="shared" si="19"/>
        <v>136</v>
      </c>
    </row>
    <row r="1243" spans="1:13">
      <c r="A1243" t="s">
        <v>308</v>
      </c>
      <c r="B1243" t="s">
        <v>309</v>
      </c>
      <c r="C1243" s="1">
        <v>39531</v>
      </c>
      <c r="D1243" t="s">
        <v>88</v>
      </c>
      <c r="E1243" t="s">
        <v>53</v>
      </c>
      <c r="F1243" t="s">
        <v>51</v>
      </c>
      <c r="G1243" t="s">
        <v>39</v>
      </c>
      <c r="H1243" t="s">
        <v>145</v>
      </c>
      <c r="J1243" t="s">
        <v>310</v>
      </c>
      <c r="K1243" s="2">
        <v>123.79</v>
      </c>
      <c r="L1243">
        <v>14</v>
      </c>
      <c r="M1243">
        <f t="shared" si="19"/>
        <v>1733.0600000000002</v>
      </c>
    </row>
    <row r="1244" spans="1:13">
      <c r="A1244" t="s">
        <v>308</v>
      </c>
      <c r="B1244" t="s">
        <v>309</v>
      </c>
      <c r="C1244" s="1">
        <v>40111</v>
      </c>
      <c r="D1244" t="s">
        <v>179</v>
      </c>
      <c r="E1244" t="s">
        <v>15</v>
      </c>
      <c r="F1244" t="s">
        <v>47</v>
      </c>
      <c r="G1244" t="s">
        <v>39</v>
      </c>
      <c r="H1244" t="s">
        <v>145</v>
      </c>
      <c r="J1244" t="s">
        <v>310</v>
      </c>
      <c r="K1244" s="2">
        <v>10</v>
      </c>
      <c r="L1244">
        <v>5</v>
      </c>
      <c r="M1244">
        <f t="shared" si="19"/>
        <v>50</v>
      </c>
    </row>
    <row r="1245" spans="1:13">
      <c r="A1245" t="s">
        <v>308</v>
      </c>
      <c r="B1245" t="s">
        <v>309</v>
      </c>
      <c r="C1245" s="1">
        <v>40073</v>
      </c>
      <c r="D1245" t="s">
        <v>95</v>
      </c>
      <c r="E1245" t="s">
        <v>21</v>
      </c>
      <c r="F1245" t="s">
        <v>27</v>
      </c>
      <c r="G1245" t="s">
        <v>17</v>
      </c>
      <c r="H1245" t="s">
        <v>145</v>
      </c>
      <c r="J1245" t="s">
        <v>310</v>
      </c>
      <c r="K1245" s="2">
        <v>21.05</v>
      </c>
      <c r="L1245">
        <v>12</v>
      </c>
      <c r="M1245">
        <f t="shared" si="19"/>
        <v>252.60000000000002</v>
      </c>
    </row>
    <row r="1246" spans="1:13">
      <c r="A1246" t="s">
        <v>308</v>
      </c>
      <c r="B1246" t="s">
        <v>309</v>
      </c>
      <c r="C1246" s="1">
        <v>40106</v>
      </c>
      <c r="D1246" t="s">
        <v>64</v>
      </c>
      <c r="E1246" t="s">
        <v>21</v>
      </c>
      <c r="F1246" t="s">
        <v>35</v>
      </c>
      <c r="G1246" t="s">
        <v>17</v>
      </c>
      <c r="H1246" t="s">
        <v>145</v>
      </c>
      <c r="J1246" t="s">
        <v>310</v>
      </c>
      <c r="K1246" s="2">
        <v>9.1999999999999993</v>
      </c>
      <c r="L1246">
        <v>5</v>
      </c>
      <c r="M1246">
        <f t="shared" si="19"/>
        <v>46</v>
      </c>
    </row>
    <row r="1247" spans="1:13">
      <c r="A1247" t="s">
        <v>311</v>
      </c>
      <c r="B1247" t="s">
        <v>312</v>
      </c>
      <c r="C1247" s="1">
        <v>40079</v>
      </c>
      <c r="D1247" t="s">
        <v>88</v>
      </c>
      <c r="E1247" t="s">
        <v>89</v>
      </c>
      <c r="F1247" t="s">
        <v>51</v>
      </c>
      <c r="G1247" t="s">
        <v>39</v>
      </c>
      <c r="H1247" t="s">
        <v>199</v>
      </c>
      <c r="J1247" t="s">
        <v>313</v>
      </c>
      <c r="K1247" s="2">
        <v>123.79</v>
      </c>
      <c r="L1247">
        <v>14</v>
      </c>
      <c r="M1247">
        <f t="shared" si="19"/>
        <v>1733.0600000000002</v>
      </c>
    </row>
    <row r="1248" spans="1:13">
      <c r="A1248" t="s">
        <v>311</v>
      </c>
      <c r="B1248" t="s">
        <v>312</v>
      </c>
      <c r="C1248" s="1">
        <v>40079</v>
      </c>
      <c r="D1248" t="s">
        <v>133</v>
      </c>
      <c r="E1248" t="s">
        <v>89</v>
      </c>
      <c r="F1248" t="s">
        <v>134</v>
      </c>
      <c r="G1248" t="s">
        <v>39</v>
      </c>
      <c r="H1248" t="s">
        <v>199</v>
      </c>
      <c r="J1248" t="s">
        <v>313</v>
      </c>
      <c r="K1248" s="2">
        <v>9.65</v>
      </c>
      <c r="L1248">
        <v>20</v>
      </c>
      <c r="M1248">
        <f t="shared" si="19"/>
        <v>193</v>
      </c>
    </row>
    <row r="1249" spans="1:13">
      <c r="A1249" t="s">
        <v>311</v>
      </c>
      <c r="B1249" t="s">
        <v>312</v>
      </c>
      <c r="C1249" s="1">
        <v>39745</v>
      </c>
      <c r="D1249" t="s">
        <v>135</v>
      </c>
      <c r="E1249" t="s">
        <v>24</v>
      </c>
      <c r="F1249" t="s">
        <v>58</v>
      </c>
      <c r="G1249" t="s">
        <v>17</v>
      </c>
      <c r="H1249" t="s">
        <v>199</v>
      </c>
      <c r="J1249" t="s">
        <v>313</v>
      </c>
      <c r="K1249" s="2">
        <v>20.8</v>
      </c>
      <c r="L1249">
        <v>28</v>
      </c>
      <c r="M1249">
        <f t="shared" si="19"/>
        <v>582.4</v>
      </c>
    </row>
    <row r="1250" spans="1:13">
      <c r="A1250" t="s">
        <v>311</v>
      </c>
      <c r="B1250" t="s">
        <v>312</v>
      </c>
      <c r="C1250" s="1">
        <v>39512</v>
      </c>
      <c r="D1250" t="s">
        <v>34</v>
      </c>
      <c r="E1250" t="s">
        <v>89</v>
      </c>
      <c r="F1250" t="s">
        <v>35</v>
      </c>
      <c r="G1250" t="s">
        <v>39</v>
      </c>
      <c r="H1250" t="s">
        <v>199</v>
      </c>
      <c r="J1250" t="s">
        <v>313</v>
      </c>
      <c r="K1250" s="2">
        <v>10</v>
      </c>
      <c r="L1250">
        <v>60</v>
      </c>
      <c r="M1250">
        <f t="shared" si="19"/>
        <v>600</v>
      </c>
    </row>
    <row r="1251" spans="1:13">
      <c r="A1251" t="s">
        <v>311</v>
      </c>
      <c r="B1251" t="s">
        <v>312</v>
      </c>
      <c r="C1251" s="1">
        <v>39751</v>
      </c>
      <c r="D1251" t="s">
        <v>137</v>
      </c>
      <c r="E1251" t="s">
        <v>24</v>
      </c>
      <c r="F1251" t="s">
        <v>76</v>
      </c>
      <c r="G1251" t="s">
        <v>17</v>
      </c>
      <c r="H1251" t="s">
        <v>199</v>
      </c>
      <c r="J1251" t="s">
        <v>313</v>
      </c>
      <c r="K1251" s="2">
        <v>10</v>
      </c>
      <c r="L1251">
        <v>56</v>
      </c>
      <c r="M1251">
        <f t="shared" si="19"/>
        <v>560</v>
      </c>
    </row>
    <row r="1252" spans="1:13">
      <c r="A1252" t="s">
        <v>311</v>
      </c>
      <c r="B1252" t="s">
        <v>312</v>
      </c>
      <c r="C1252" s="1">
        <v>40072</v>
      </c>
      <c r="D1252" t="s">
        <v>171</v>
      </c>
      <c r="E1252" t="s">
        <v>24</v>
      </c>
      <c r="F1252" t="s">
        <v>45</v>
      </c>
      <c r="G1252" t="s">
        <v>17</v>
      </c>
      <c r="H1252" t="s">
        <v>199</v>
      </c>
      <c r="J1252" t="s">
        <v>313</v>
      </c>
      <c r="K1252" s="2">
        <v>14</v>
      </c>
      <c r="L1252">
        <v>25</v>
      </c>
      <c r="M1252">
        <f t="shared" si="19"/>
        <v>350</v>
      </c>
    </row>
    <row r="1253" spans="1:13">
      <c r="A1253" t="s">
        <v>311</v>
      </c>
      <c r="B1253" t="s">
        <v>312</v>
      </c>
      <c r="C1253" s="1">
        <v>39512</v>
      </c>
      <c r="D1253" t="s">
        <v>71</v>
      </c>
      <c r="E1253" t="s">
        <v>89</v>
      </c>
      <c r="F1253" t="s">
        <v>51</v>
      </c>
      <c r="G1253" t="s">
        <v>39</v>
      </c>
      <c r="H1253" t="s">
        <v>199</v>
      </c>
      <c r="J1253" t="s">
        <v>313</v>
      </c>
      <c r="K1253" s="2">
        <v>7.75</v>
      </c>
      <c r="L1253">
        <v>49</v>
      </c>
      <c r="M1253">
        <f t="shared" si="19"/>
        <v>379.75</v>
      </c>
    </row>
    <row r="1254" spans="1:13">
      <c r="A1254" t="s">
        <v>311</v>
      </c>
      <c r="B1254" t="s">
        <v>312</v>
      </c>
      <c r="C1254" s="1">
        <v>39970</v>
      </c>
      <c r="D1254" t="s">
        <v>38</v>
      </c>
      <c r="E1254" t="s">
        <v>67</v>
      </c>
      <c r="F1254" t="s">
        <v>29</v>
      </c>
      <c r="G1254" t="s">
        <v>17</v>
      </c>
      <c r="H1254" t="s">
        <v>199</v>
      </c>
      <c r="J1254" t="s">
        <v>313</v>
      </c>
      <c r="K1254" s="2">
        <v>49.3</v>
      </c>
      <c r="L1254">
        <v>15</v>
      </c>
      <c r="M1254">
        <f t="shared" si="19"/>
        <v>739.5</v>
      </c>
    </row>
    <row r="1255" spans="1:13">
      <c r="A1255" t="s">
        <v>311</v>
      </c>
      <c r="B1255" t="s">
        <v>312</v>
      </c>
      <c r="C1255" s="1">
        <v>39745</v>
      </c>
      <c r="D1255" t="s">
        <v>75</v>
      </c>
      <c r="E1255" t="s">
        <v>24</v>
      </c>
      <c r="F1255" t="s">
        <v>76</v>
      </c>
      <c r="G1255" t="s">
        <v>17</v>
      </c>
      <c r="H1255" t="s">
        <v>199</v>
      </c>
      <c r="J1255" t="s">
        <v>313</v>
      </c>
      <c r="K1255" s="2">
        <v>27.8</v>
      </c>
      <c r="L1255">
        <v>25</v>
      </c>
      <c r="M1255">
        <f t="shared" si="19"/>
        <v>695</v>
      </c>
    </row>
    <row r="1256" spans="1:13">
      <c r="A1256" t="s">
        <v>311</v>
      </c>
      <c r="B1256" t="s">
        <v>312</v>
      </c>
      <c r="C1256" s="1">
        <v>40058</v>
      </c>
      <c r="D1256" t="s">
        <v>86</v>
      </c>
      <c r="E1256" t="s">
        <v>21</v>
      </c>
      <c r="F1256" t="s">
        <v>54</v>
      </c>
      <c r="G1256" t="s">
        <v>17</v>
      </c>
      <c r="H1256" t="s">
        <v>199</v>
      </c>
      <c r="J1256" t="s">
        <v>313</v>
      </c>
      <c r="K1256" s="2">
        <v>34</v>
      </c>
      <c r="L1256">
        <v>20</v>
      </c>
      <c r="M1256">
        <f t="shared" si="19"/>
        <v>680</v>
      </c>
    </row>
    <row r="1257" spans="1:13">
      <c r="A1257" t="s">
        <v>311</v>
      </c>
      <c r="B1257" t="s">
        <v>312</v>
      </c>
      <c r="C1257" s="1">
        <v>39970</v>
      </c>
      <c r="D1257" t="s">
        <v>83</v>
      </c>
      <c r="E1257" t="s">
        <v>67</v>
      </c>
      <c r="F1257" t="s">
        <v>84</v>
      </c>
      <c r="G1257" t="s">
        <v>17</v>
      </c>
      <c r="H1257" t="s">
        <v>199</v>
      </c>
      <c r="J1257" t="s">
        <v>313</v>
      </c>
      <c r="K1257" s="2">
        <v>25.89</v>
      </c>
      <c r="L1257">
        <v>20</v>
      </c>
      <c r="M1257">
        <f t="shared" si="19"/>
        <v>517.79999999999995</v>
      </c>
    </row>
    <row r="1258" spans="1:13">
      <c r="A1258" t="s">
        <v>311</v>
      </c>
      <c r="B1258" t="s">
        <v>312</v>
      </c>
      <c r="C1258" s="1">
        <v>39751</v>
      </c>
      <c r="D1258" t="s">
        <v>57</v>
      </c>
      <c r="E1258" t="s">
        <v>24</v>
      </c>
      <c r="F1258" t="s">
        <v>58</v>
      </c>
      <c r="G1258" t="s">
        <v>17</v>
      </c>
      <c r="H1258" t="s">
        <v>199</v>
      </c>
      <c r="J1258" t="s">
        <v>313</v>
      </c>
      <c r="K1258" s="2">
        <v>15.2</v>
      </c>
      <c r="L1258">
        <v>40</v>
      </c>
      <c r="M1258">
        <f t="shared" si="19"/>
        <v>608</v>
      </c>
    </row>
    <row r="1259" spans="1:13">
      <c r="A1259" t="s">
        <v>311</v>
      </c>
      <c r="B1259" t="s">
        <v>312</v>
      </c>
      <c r="C1259" s="1">
        <v>40058</v>
      </c>
      <c r="D1259" t="s">
        <v>20</v>
      </c>
      <c r="E1259" t="s">
        <v>21</v>
      </c>
      <c r="F1259" t="s">
        <v>22</v>
      </c>
      <c r="G1259" t="s">
        <v>17</v>
      </c>
      <c r="H1259" t="s">
        <v>199</v>
      </c>
      <c r="J1259" t="s">
        <v>313</v>
      </c>
      <c r="K1259" s="2">
        <v>17.45</v>
      </c>
      <c r="L1259">
        <v>30</v>
      </c>
      <c r="M1259">
        <f t="shared" si="19"/>
        <v>523.5</v>
      </c>
    </row>
    <row r="1260" spans="1:13">
      <c r="A1260" t="s">
        <v>311</v>
      </c>
      <c r="B1260" t="s">
        <v>312</v>
      </c>
      <c r="C1260" s="1">
        <v>39751</v>
      </c>
      <c r="D1260" t="s">
        <v>148</v>
      </c>
      <c r="E1260" t="s">
        <v>24</v>
      </c>
      <c r="F1260" t="s">
        <v>16</v>
      </c>
      <c r="G1260" t="s">
        <v>17</v>
      </c>
      <c r="H1260" t="s">
        <v>199</v>
      </c>
      <c r="J1260" t="s">
        <v>313</v>
      </c>
      <c r="K1260" s="2">
        <v>19.2</v>
      </c>
      <c r="L1260">
        <v>40</v>
      </c>
      <c r="M1260">
        <f t="shared" si="19"/>
        <v>768</v>
      </c>
    </row>
    <row r="1261" spans="1:13">
      <c r="A1261" t="s">
        <v>311</v>
      </c>
      <c r="B1261" t="s">
        <v>312</v>
      </c>
      <c r="C1261" s="1">
        <v>40072</v>
      </c>
      <c r="D1261" t="s">
        <v>65</v>
      </c>
      <c r="E1261" t="s">
        <v>24</v>
      </c>
      <c r="F1261" t="s">
        <v>58</v>
      </c>
      <c r="G1261" t="s">
        <v>17</v>
      </c>
      <c r="H1261" t="s">
        <v>199</v>
      </c>
      <c r="J1261" t="s">
        <v>313</v>
      </c>
      <c r="K1261" s="2">
        <v>15</v>
      </c>
      <c r="L1261">
        <v>50</v>
      </c>
      <c r="M1261">
        <f t="shared" si="19"/>
        <v>750</v>
      </c>
    </row>
    <row r="1262" spans="1:13">
      <c r="A1262" t="s">
        <v>311</v>
      </c>
      <c r="B1262" t="s">
        <v>312</v>
      </c>
      <c r="C1262" s="1">
        <v>39751</v>
      </c>
      <c r="D1262" t="s">
        <v>36</v>
      </c>
      <c r="E1262" t="s">
        <v>24</v>
      </c>
      <c r="F1262" t="s">
        <v>37</v>
      </c>
      <c r="G1262" t="s">
        <v>17</v>
      </c>
      <c r="H1262" t="s">
        <v>199</v>
      </c>
      <c r="J1262" t="s">
        <v>313</v>
      </c>
      <c r="K1262" s="2">
        <v>15.2</v>
      </c>
      <c r="L1262">
        <v>24</v>
      </c>
      <c r="M1262">
        <f t="shared" si="19"/>
        <v>364.79999999999995</v>
      </c>
    </row>
    <row r="1263" spans="1:13">
      <c r="A1263" t="s">
        <v>311</v>
      </c>
      <c r="B1263" t="s">
        <v>312</v>
      </c>
      <c r="C1263" s="1">
        <v>40072</v>
      </c>
      <c r="D1263" t="s">
        <v>71</v>
      </c>
      <c r="E1263" t="s">
        <v>24</v>
      </c>
      <c r="F1263" t="s">
        <v>51</v>
      </c>
      <c r="G1263" t="s">
        <v>17</v>
      </c>
      <c r="H1263" t="s">
        <v>199</v>
      </c>
      <c r="J1263" t="s">
        <v>313</v>
      </c>
      <c r="K1263" s="2">
        <v>7.75</v>
      </c>
      <c r="L1263">
        <v>25</v>
      </c>
      <c r="M1263">
        <f t="shared" si="19"/>
        <v>193.75</v>
      </c>
    </row>
    <row r="1264" spans="1:13">
      <c r="A1264" t="s">
        <v>311</v>
      </c>
      <c r="B1264" t="s">
        <v>312</v>
      </c>
      <c r="C1264" s="1">
        <v>40072</v>
      </c>
      <c r="D1264" t="s">
        <v>70</v>
      </c>
      <c r="E1264" t="s">
        <v>24</v>
      </c>
      <c r="F1264" t="s">
        <v>61</v>
      </c>
      <c r="G1264" t="s">
        <v>17</v>
      </c>
      <c r="H1264" t="s">
        <v>199</v>
      </c>
      <c r="J1264" t="s">
        <v>313</v>
      </c>
      <c r="K1264" s="2">
        <v>12</v>
      </c>
      <c r="L1264">
        <v>60</v>
      </c>
      <c r="M1264">
        <f t="shared" si="19"/>
        <v>720</v>
      </c>
    </row>
    <row r="1265" spans="1:13">
      <c r="A1265" t="s">
        <v>311</v>
      </c>
      <c r="B1265" t="s">
        <v>312</v>
      </c>
      <c r="C1265" s="1">
        <v>39476</v>
      </c>
      <c r="D1265" t="s">
        <v>98</v>
      </c>
      <c r="E1265" t="s">
        <v>21</v>
      </c>
      <c r="F1265" t="s">
        <v>99</v>
      </c>
      <c r="G1265" t="s">
        <v>39</v>
      </c>
      <c r="H1265" t="s">
        <v>199</v>
      </c>
      <c r="J1265" t="s">
        <v>313</v>
      </c>
      <c r="K1265" s="2">
        <v>4.5</v>
      </c>
      <c r="L1265">
        <v>40</v>
      </c>
      <c r="M1265">
        <f t="shared" si="19"/>
        <v>180</v>
      </c>
    </row>
    <row r="1266" spans="1:13">
      <c r="A1266" t="s">
        <v>311</v>
      </c>
      <c r="B1266" t="s">
        <v>312</v>
      </c>
      <c r="C1266" s="1">
        <v>39745</v>
      </c>
      <c r="D1266" t="s">
        <v>30</v>
      </c>
      <c r="E1266" t="s">
        <v>24</v>
      </c>
      <c r="F1266" t="s">
        <v>31</v>
      </c>
      <c r="G1266" t="s">
        <v>17</v>
      </c>
      <c r="H1266" t="s">
        <v>199</v>
      </c>
      <c r="J1266" t="s">
        <v>313</v>
      </c>
      <c r="K1266" s="2">
        <v>24.9</v>
      </c>
      <c r="L1266">
        <v>24</v>
      </c>
      <c r="M1266">
        <f t="shared" si="19"/>
        <v>597.59999999999991</v>
      </c>
    </row>
    <row r="1267" spans="1:13">
      <c r="A1267" t="s">
        <v>311</v>
      </c>
      <c r="B1267" t="s">
        <v>312</v>
      </c>
      <c r="C1267" s="1">
        <v>39512</v>
      </c>
      <c r="D1267" t="s">
        <v>49</v>
      </c>
      <c r="E1267" t="s">
        <v>89</v>
      </c>
      <c r="F1267" t="s">
        <v>51</v>
      </c>
      <c r="G1267" t="s">
        <v>39</v>
      </c>
      <c r="H1267" t="s">
        <v>199</v>
      </c>
      <c r="J1267" t="s">
        <v>313</v>
      </c>
      <c r="K1267" s="2">
        <v>13</v>
      </c>
      <c r="L1267">
        <v>15</v>
      </c>
      <c r="M1267">
        <f t="shared" si="19"/>
        <v>195</v>
      </c>
    </row>
    <row r="1268" spans="1:13">
      <c r="A1268" t="s">
        <v>311</v>
      </c>
      <c r="B1268" t="s">
        <v>312</v>
      </c>
      <c r="C1268" s="1">
        <v>40075</v>
      </c>
      <c r="D1268" t="s">
        <v>32</v>
      </c>
      <c r="E1268" t="s">
        <v>66</v>
      </c>
      <c r="F1268" t="s">
        <v>33</v>
      </c>
      <c r="G1268" t="s">
        <v>17</v>
      </c>
      <c r="H1268" t="s">
        <v>199</v>
      </c>
      <c r="J1268" t="s">
        <v>313</v>
      </c>
      <c r="K1268" s="2">
        <v>32.799999999999997</v>
      </c>
      <c r="L1268">
        <v>10</v>
      </c>
      <c r="M1268">
        <f t="shared" si="19"/>
        <v>328</v>
      </c>
    </row>
    <row r="1269" spans="1:13">
      <c r="A1269" t="s">
        <v>311</v>
      </c>
      <c r="B1269" t="s">
        <v>312</v>
      </c>
      <c r="C1269" s="1">
        <v>40072</v>
      </c>
      <c r="D1269" t="s">
        <v>130</v>
      </c>
      <c r="E1269" t="s">
        <v>24</v>
      </c>
      <c r="F1269" t="s">
        <v>118</v>
      </c>
      <c r="G1269" t="s">
        <v>17</v>
      </c>
      <c r="H1269" t="s">
        <v>199</v>
      </c>
      <c r="J1269" t="s">
        <v>313</v>
      </c>
      <c r="K1269" s="2">
        <v>9</v>
      </c>
      <c r="L1269">
        <v>32</v>
      </c>
      <c r="M1269">
        <f t="shared" si="19"/>
        <v>288</v>
      </c>
    </row>
    <row r="1270" spans="1:13">
      <c r="A1270" t="s">
        <v>311</v>
      </c>
      <c r="B1270" t="s">
        <v>312</v>
      </c>
      <c r="C1270" s="1">
        <v>40032</v>
      </c>
      <c r="D1270" t="s">
        <v>98</v>
      </c>
      <c r="E1270" t="s">
        <v>67</v>
      </c>
      <c r="F1270" t="s">
        <v>99</v>
      </c>
      <c r="G1270" t="s">
        <v>17</v>
      </c>
      <c r="H1270" t="s">
        <v>199</v>
      </c>
      <c r="J1270" t="s">
        <v>313</v>
      </c>
      <c r="K1270" s="2">
        <v>4.5</v>
      </c>
      <c r="L1270">
        <v>3</v>
      </c>
      <c r="M1270">
        <f t="shared" si="19"/>
        <v>13.5</v>
      </c>
    </row>
    <row r="1271" spans="1:13">
      <c r="A1271" t="s">
        <v>311</v>
      </c>
      <c r="B1271" t="s">
        <v>312</v>
      </c>
      <c r="C1271" s="1">
        <v>40075</v>
      </c>
      <c r="D1271" t="s">
        <v>153</v>
      </c>
      <c r="E1271" t="s">
        <v>66</v>
      </c>
      <c r="F1271" t="s">
        <v>125</v>
      </c>
      <c r="G1271" t="s">
        <v>17</v>
      </c>
      <c r="H1271" t="s">
        <v>199</v>
      </c>
      <c r="J1271" t="s">
        <v>313</v>
      </c>
      <c r="K1271" s="2">
        <v>23.25</v>
      </c>
      <c r="L1271">
        <v>30</v>
      </c>
      <c r="M1271">
        <f t="shared" si="19"/>
        <v>697.5</v>
      </c>
    </row>
    <row r="1272" spans="1:13">
      <c r="A1272" t="s">
        <v>311</v>
      </c>
      <c r="B1272" t="s">
        <v>312</v>
      </c>
      <c r="C1272" s="1">
        <v>40032</v>
      </c>
      <c r="D1272" t="s">
        <v>34</v>
      </c>
      <c r="E1272" t="s">
        <v>67</v>
      </c>
      <c r="F1272" t="s">
        <v>35</v>
      </c>
      <c r="G1272" t="s">
        <v>17</v>
      </c>
      <c r="H1272" t="s">
        <v>199</v>
      </c>
      <c r="J1272" t="s">
        <v>313</v>
      </c>
      <c r="K1272" s="2">
        <v>10</v>
      </c>
      <c r="L1272">
        <v>25</v>
      </c>
      <c r="M1272">
        <f t="shared" si="19"/>
        <v>250</v>
      </c>
    </row>
    <row r="1273" spans="1:13">
      <c r="A1273" t="s">
        <v>311</v>
      </c>
      <c r="B1273" t="s">
        <v>312</v>
      </c>
      <c r="C1273" s="1">
        <v>39899</v>
      </c>
      <c r="D1273" t="s">
        <v>52</v>
      </c>
      <c r="E1273" t="s">
        <v>67</v>
      </c>
      <c r="F1273" t="s">
        <v>54</v>
      </c>
      <c r="G1273" t="s">
        <v>17</v>
      </c>
      <c r="H1273" t="s">
        <v>199</v>
      </c>
      <c r="J1273" t="s">
        <v>313</v>
      </c>
      <c r="K1273" s="2">
        <v>44</v>
      </c>
      <c r="L1273">
        <v>30</v>
      </c>
      <c r="M1273">
        <f t="shared" si="19"/>
        <v>1320</v>
      </c>
    </row>
    <row r="1274" spans="1:13">
      <c r="A1274" t="s">
        <v>311</v>
      </c>
      <c r="B1274" t="s">
        <v>312</v>
      </c>
      <c r="C1274" s="1">
        <v>39745</v>
      </c>
      <c r="D1274" t="s">
        <v>57</v>
      </c>
      <c r="E1274" t="s">
        <v>24</v>
      </c>
      <c r="F1274" t="s">
        <v>58</v>
      </c>
      <c r="G1274" t="s">
        <v>17</v>
      </c>
      <c r="H1274" t="s">
        <v>199</v>
      </c>
      <c r="J1274" t="s">
        <v>313</v>
      </c>
      <c r="K1274" s="2">
        <v>15.2</v>
      </c>
      <c r="L1274">
        <v>20</v>
      </c>
      <c r="M1274">
        <f t="shared" si="19"/>
        <v>304</v>
      </c>
    </row>
    <row r="1275" spans="1:13">
      <c r="A1275" t="s">
        <v>311</v>
      </c>
      <c r="B1275" t="s">
        <v>312</v>
      </c>
      <c r="C1275" s="1">
        <v>39899</v>
      </c>
      <c r="D1275" t="s">
        <v>65</v>
      </c>
      <c r="E1275" t="s">
        <v>67</v>
      </c>
      <c r="F1275" t="s">
        <v>58</v>
      </c>
      <c r="G1275" t="s">
        <v>17</v>
      </c>
      <c r="H1275" t="s">
        <v>199</v>
      </c>
      <c r="J1275" t="s">
        <v>313</v>
      </c>
      <c r="K1275" s="2">
        <v>12</v>
      </c>
      <c r="L1275">
        <v>20</v>
      </c>
      <c r="M1275">
        <f t="shared" si="19"/>
        <v>240</v>
      </c>
    </row>
    <row r="1276" spans="1:13">
      <c r="A1276" t="s">
        <v>311</v>
      </c>
      <c r="B1276" t="s">
        <v>312</v>
      </c>
      <c r="C1276" s="1">
        <v>39547</v>
      </c>
      <c r="D1276" t="s">
        <v>86</v>
      </c>
      <c r="E1276" t="s">
        <v>21</v>
      </c>
      <c r="F1276" t="s">
        <v>54</v>
      </c>
      <c r="G1276" t="s">
        <v>39</v>
      </c>
      <c r="H1276" t="s">
        <v>199</v>
      </c>
      <c r="J1276" t="s">
        <v>313</v>
      </c>
      <c r="K1276" s="2">
        <v>34</v>
      </c>
      <c r="L1276">
        <v>36</v>
      </c>
      <c r="M1276">
        <f t="shared" si="19"/>
        <v>1224</v>
      </c>
    </row>
    <row r="1277" spans="1:13">
      <c r="A1277" t="s">
        <v>311</v>
      </c>
      <c r="B1277" t="s">
        <v>312</v>
      </c>
      <c r="C1277" s="1">
        <v>39547</v>
      </c>
      <c r="D1277" t="s">
        <v>64</v>
      </c>
      <c r="E1277" t="s">
        <v>21</v>
      </c>
      <c r="F1277" t="s">
        <v>35</v>
      </c>
      <c r="G1277" t="s">
        <v>39</v>
      </c>
      <c r="H1277" t="s">
        <v>199</v>
      </c>
      <c r="J1277" t="s">
        <v>313</v>
      </c>
      <c r="K1277" s="2">
        <v>9.1999999999999993</v>
      </c>
      <c r="L1277">
        <v>50</v>
      </c>
      <c r="M1277">
        <f t="shared" si="19"/>
        <v>459.99999999999994</v>
      </c>
    </row>
    <row r="1278" spans="1:13">
      <c r="A1278" t="s">
        <v>311</v>
      </c>
      <c r="B1278" t="s">
        <v>312</v>
      </c>
      <c r="C1278" s="1">
        <v>40032</v>
      </c>
      <c r="D1278" t="s">
        <v>64</v>
      </c>
      <c r="E1278" t="s">
        <v>67</v>
      </c>
      <c r="F1278" t="s">
        <v>35</v>
      </c>
      <c r="G1278" t="s">
        <v>17</v>
      </c>
      <c r="H1278" t="s">
        <v>199</v>
      </c>
      <c r="J1278" t="s">
        <v>313</v>
      </c>
      <c r="K1278" s="2">
        <v>9.1999999999999993</v>
      </c>
      <c r="L1278">
        <v>15</v>
      </c>
      <c r="M1278">
        <f t="shared" si="19"/>
        <v>138</v>
      </c>
    </row>
    <row r="1279" spans="1:13">
      <c r="A1279" t="s">
        <v>311</v>
      </c>
      <c r="B1279" t="s">
        <v>312</v>
      </c>
      <c r="C1279" s="1">
        <v>40032</v>
      </c>
      <c r="D1279" t="s">
        <v>153</v>
      </c>
      <c r="E1279" t="s">
        <v>67</v>
      </c>
      <c r="F1279" t="s">
        <v>125</v>
      </c>
      <c r="G1279" t="s">
        <v>17</v>
      </c>
      <c r="H1279" t="s">
        <v>199</v>
      </c>
      <c r="J1279" t="s">
        <v>313</v>
      </c>
      <c r="K1279" s="2">
        <v>23.25</v>
      </c>
      <c r="L1279">
        <v>21</v>
      </c>
      <c r="M1279">
        <f t="shared" si="19"/>
        <v>488.25</v>
      </c>
    </row>
    <row r="1280" spans="1:13">
      <c r="A1280" t="s">
        <v>311</v>
      </c>
      <c r="B1280" t="s">
        <v>312</v>
      </c>
      <c r="C1280" s="1">
        <v>40032</v>
      </c>
      <c r="D1280" t="s">
        <v>44</v>
      </c>
      <c r="E1280" t="s">
        <v>67</v>
      </c>
      <c r="F1280" t="s">
        <v>45</v>
      </c>
      <c r="G1280" t="s">
        <v>17</v>
      </c>
      <c r="H1280" t="s">
        <v>199</v>
      </c>
      <c r="J1280" t="s">
        <v>313</v>
      </c>
      <c r="K1280" s="2">
        <v>18</v>
      </c>
      <c r="L1280">
        <v>30</v>
      </c>
      <c r="M1280">
        <f t="shared" si="19"/>
        <v>540</v>
      </c>
    </row>
    <row r="1281" spans="1:13">
      <c r="A1281" t="s">
        <v>311</v>
      </c>
      <c r="B1281" t="s">
        <v>312</v>
      </c>
      <c r="C1281" s="1">
        <v>40110</v>
      </c>
      <c r="D1281" t="s">
        <v>34</v>
      </c>
      <c r="E1281" t="s">
        <v>21</v>
      </c>
      <c r="F1281" t="s">
        <v>35</v>
      </c>
      <c r="G1281" t="s">
        <v>17</v>
      </c>
      <c r="H1281" t="s">
        <v>199</v>
      </c>
      <c r="J1281" t="s">
        <v>313</v>
      </c>
      <c r="K1281" s="2">
        <v>10</v>
      </c>
      <c r="L1281">
        <v>32</v>
      </c>
      <c r="M1281">
        <f t="shared" si="19"/>
        <v>320</v>
      </c>
    </row>
    <row r="1282" spans="1:13">
      <c r="A1282" t="s">
        <v>311</v>
      </c>
      <c r="B1282" t="s">
        <v>312</v>
      </c>
      <c r="C1282" s="1">
        <v>39547</v>
      </c>
      <c r="D1282" t="s">
        <v>121</v>
      </c>
      <c r="E1282" t="s">
        <v>21</v>
      </c>
      <c r="F1282" t="s">
        <v>41</v>
      </c>
      <c r="G1282" t="s">
        <v>39</v>
      </c>
      <c r="H1282" t="s">
        <v>199</v>
      </c>
      <c r="J1282" t="s">
        <v>313</v>
      </c>
      <c r="K1282" s="2">
        <v>21.5</v>
      </c>
      <c r="L1282">
        <v>60</v>
      </c>
      <c r="M1282">
        <f t="shared" si="19"/>
        <v>1290</v>
      </c>
    </row>
    <row r="1283" spans="1:13">
      <c r="A1283" t="s">
        <v>311</v>
      </c>
      <c r="B1283" t="s">
        <v>312</v>
      </c>
      <c r="C1283" s="1">
        <v>40110</v>
      </c>
      <c r="D1283" t="s">
        <v>14</v>
      </c>
      <c r="E1283" t="s">
        <v>21</v>
      </c>
      <c r="F1283" t="s">
        <v>16</v>
      </c>
      <c r="G1283" t="s">
        <v>17</v>
      </c>
      <c r="H1283" t="s">
        <v>199</v>
      </c>
      <c r="J1283" t="s">
        <v>313</v>
      </c>
      <c r="K1283" s="2">
        <v>7.45</v>
      </c>
      <c r="L1283">
        <v>15</v>
      </c>
      <c r="M1283">
        <f t="shared" ref="M1283:M1346" si="20">K1283*L1283</f>
        <v>111.75</v>
      </c>
    </row>
    <row r="1284" spans="1:13">
      <c r="A1284" t="s">
        <v>311</v>
      </c>
      <c r="B1284" t="s">
        <v>312</v>
      </c>
      <c r="C1284" s="1">
        <v>40110</v>
      </c>
      <c r="D1284" t="s">
        <v>43</v>
      </c>
      <c r="E1284" t="s">
        <v>21</v>
      </c>
      <c r="F1284" t="s">
        <v>41</v>
      </c>
      <c r="G1284" t="s">
        <v>17</v>
      </c>
      <c r="H1284" t="s">
        <v>199</v>
      </c>
      <c r="J1284" t="s">
        <v>313</v>
      </c>
      <c r="K1284" s="2">
        <v>36</v>
      </c>
      <c r="L1284">
        <v>25</v>
      </c>
      <c r="M1284">
        <f t="shared" si="20"/>
        <v>900</v>
      </c>
    </row>
    <row r="1285" spans="1:13">
      <c r="A1285" t="s">
        <v>311</v>
      </c>
      <c r="B1285" t="s">
        <v>312</v>
      </c>
      <c r="C1285" s="1">
        <v>39658</v>
      </c>
      <c r="D1285" t="s">
        <v>96</v>
      </c>
      <c r="E1285" t="s">
        <v>24</v>
      </c>
      <c r="F1285" t="s">
        <v>97</v>
      </c>
      <c r="G1285" t="s">
        <v>17</v>
      </c>
      <c r="H1285" t="s">
        <v>199</v>
      </c>
      <c r="J1285" t="s">
        <v>313</v>
      </c>
      <c r="K1285" s="2">
        <v>14.4</v>
      </c>
      <c r="L1285">
        <v>15</v>
      </c>
      <c r="M1285">
        <f t="shared" si="20"/>
        <v>216</v>
      </c>
    </row>
    <row r="1286" spans="1:13">
      <c r="A1286" t="s">
        <v>311</v>
      </c>
      <c r="B1286" t="s">
        <v>312</v>
      </c>
      <c r="C1286" s="1">
        <v>39476</v>
      </c>
      <c r="D1286" t="s">
        <v>147</v>
      </c>
      <c r="E1286" t="s">
        <v>21</v>
      </c>
      <c r="F1286" t="s">
        <v>51</v>
      </c>
      <c r="G1286" t="s">
        <v>39</v>
      </c>
      <c r="H1286" t="s">
        <v>199</v>
      </c>
      <c r="J1286" t="s">
        <v>313</v>
      </c>
      <c r="K1286" s="2">
        <v>33.25</v>
      </c>
      <c r="L1286">
        <v>30</v>
      </c>
      <c r="M1286">
        <f t="shared" si="20"/>
        <v>997.5</v>
      </c>
    </row>
    <row r="1287" spans="1:13">
      <c r="A1287" t="s">
        <v>311</v>
      </c>
      <c r="B1287" t="s">
        <v>312</v>
      </c>
      <c r="C1287" s="1">
        <v>39476</v>
      </c>
      <c r="D1287" t="s">
        <v>14</v>
      </c>
      <c r="E1287" t="s">
        <v>21</v>
      </c>
      <c r="F1287" t="s">
        <v>16</v>
      </c>
      <c r="G1287" t="s">
        <v>39</v>
      </c>
      <c r="H1287" t="s">
        <v>199</v>
      </c>
      <c r="J1287" t="s">
        <v>313</v>
      </c>
      <c r="K1287" s="2">
        <v>7.45</v>
      </c>
      <c r="L1287">
        <v>35</v>
      </c>
      <c r="M1287">
        <f t="shared" si="20"/>
        <v>260.75</v>
      </c>
    </row>
    <row r="1288" spans="1:13">
      <c r="A1288" t="s">
        <v>311</v>
      </c>
      <c r="B1288" t="s">
        <v>312</v>
      </c>
      <c r="C1288" s="1">
        <v>39718</v>
      </c>
      <c r="D1288" t="s">
        <v>75</v>
      </c>
      <c r="E1288" t="s">
        <v>21</v>
      </c>
      <c r="F1288" t="s">
        <v>76</v>
      </c>
      <c r="G1288" t="s">
        <v>17</v>
      </c>
      <c r="H1288" t="s">
        <v>199</v>
      </c>
      <c r="J1288" t="s">
        <v>313</v>
      </c>
      <c r="K1288" s="2">
        <v>27.8</v>
      </c>
      <c r="L1288">
        <v>21</v>
      </c>
      <c r="M1288">
        <f t="shared" si="20"/>
        <v>583.80000000000007</v>
      </c>
    </row>
    <row r="1289" spans="1:13">
      <c r="A1289" t="s">
        <v>311</v>
      </c>
      <c r="B1289" t="s">
        <v>312</v>
      </c>
      <c r="C1289" s="1">
        <v>39718</v>
      </c>
      <c r="D1289" t="s">
        <v>121</v>
      </c>
      <c r="E1289" t="s">
        <v>21</v>
      </c>
      <c r="F1289" t="s">
        <v>41</v>
      </c>
      <c r="G1289" t="s">
        <v>17</v>
      </c>
      <c r="H1289" t="s">
        <v>199</v>
      </c>
      <c r="J1289" t="s">
        <v>313</v>
      </c>
      <c r="K1289" s="2">
        <v>17.2</v>
      </c>
      <c r="L1289">
        <v>60</v>
      </c>
      <c r="M1289">
        <f t="shared" si="20"/>
        <v>1032</v>
      </c>
    </row>
    <row r="1290" spans="1:13">
      <c r="A1290" t="s">
        <v>311</v>
      </c>
      <c r="B1290" t="s">
        <v>312</v>
      </c>
      <c r="C1290" s="1">
        <v>39718</v>
      </c>
      <c r="D1290" t="s">
        <v>130</v>
      </c>
      <c r="E1290" t="s">
        <v>21</v>
      </c>
      <c r="F1290" t="s">
        <v>118</v>
      </c>
      <c r="G1290" t="s">
        <v>17</v>
      </c>
      <c r="H1290" t="s">
        <v>199</v>
      </c>
      <c r="J1290" t="s">
        <v>313</v>
      </c>
      <c r="K1290" s="2">
        <v>7.2</v>
      </c>
      <c r="L1290">
        <v>40</v>
      </c>
      <c r="M1290">
        <f t="shared" si="20"/>
        <v>288</v>
      </c>
    </row>
    <row r="1291" spans="1:13">
      <c r="A1291" t="s">
        <v>311</v>
      </c>
      <c r="B1291" t="s">
        <v>312</v>
      </c>
      <c r="C1291" s="1">
        <v>39658</v>
      </c>
      <c r="D1291" t="s">
        <v>52</v>
      </c>
      <c r="E1291" t="s">
        <v>24</v>
      </c>
      <c r="F1291" t="s">
        <v>54</v>
      </c>
      <c r="G1291" t="s">
        <v>17</v>
      </c>
      <c r="H1291" t="s">
        <v>199</v>
      </c>
      <c r="J1291" t="s">
        <v>313</v>
      </c>
      <c r="K1291" s="2">
        <v>44</v>
      </c>
      <c r="L1291">
        <v>70</v>
      </c>
      <c r="M1291">
        <f t="shared" si="20"/>
        <v>3080</v>
      </c>
    </row>
    <row r="1292" spans="1:13">
      <c r="A1292" t="s">
        <v>311</v>
      </c>
      <c r="B1292" t="s">
        <v>312</v>
      </c>
      <c r="C1292" s="1">
        <v>40075</v>
      </c>
      <c r="D1292" t="s">
        <v>68</v>
      </c>
      <c r="E1292" t="s">
        <v>66</v>
      </c>
      <c r="F1292" t="s">
        <v>69</v>
      </c>
      <c r="G1292" t="s">
        <v>17</v>
      </c>
      <c r="H1292" t="s">
        <v>199</v>
      </c>
      <c r="J1292" t="s">
        <v>313</v>
      </c>
      <c r="K1292" s="2">
        <v>13.25</v>
      </c>
      <c r="L1292">
        <v>30</v>
      </c>
      <c r="M1292">
        <f t="shared" si="20"/>
        <v>397.5</v>
      </c>
    </row>
    <row r="1293" spans="1:13">
      <c r="A1293" t="s">
        <v>311</v>
      </c>
      <c r="B1293" t="s">
        <v>312</v>
      </c>
      <c r="C1293" s="1">
        <v>39658</v>
      </c>
      <c r="D1293" t="s">
        <v>185</v>
      </c>
      <c r="E1293" t="s">
        <v>24</v>
      </c>
      <c r="F1293" t="s">
        <v>134</v>
      </c>
      <c r="G1293" t="s">
        <v>17</v>
      </c>
      <c r="H1293" t="s">
        <v>199</v>
      </c>
      <c r="J1293" t="s">
        <v>313</v>
      </c>
      <c r="K1293" s="2">
        <v>14.7</v>
      </c>
      <c r="L1293">
        <v>50</v>
      </c>
      <c r="M1293">
        <f t="shared" si="20"/>
        <v>735</v>
      </c>
    </row>
    <row r="1294" spans="1:13">
      <c r="A1294" t="s">
        <v>311</v>
      </c>
      <c r="B1294" t="s">
        <v>312</v>
      </c>
      <c r="C1294" s="1">
        <v>39745</v>
      </c>
      <c r="D1294" t="s">
        <v>130</v>
      </c>
      <c r="E1294" t="s">
        <v>24</v>
      </c>
      <c r="F1294" t="s">
        <v>118</v>
      </c>
      <c r="G1294" t="s">
        <v>17</v>
      </c>
      <c r="H1294" t="s">
        <v>199</v>
      </c>
      <c r="J1294" t="s">
        <v>313</v>
      </c>
      <c r="K1294" s="2">
        <v>7.2</v>
      </c>
      <c r="L1294">
        <v>40</v>
      </c>
      <c r="M1294">
        <f t="shared" si="20"/>
        <v>288</v>
      </c>
    </row>
    <row r="1295" spans="1:13">
      <c r="A1295" t="s">
        <v>314</v>
      </c>
      <c r="B1295" t="s">
        <v>315</v>
      </c>
      <c r="C1295" s="1">
        <v>39746</v>
      </c>
      <c r="D1295" t="s">
        <v>14</v>
      </c>
      <c r="E1295" t="s">
        <v>15</v>
      </c>
      <c r="F1295" t="s">
        <v>16</v>
      </c>
      <c r="G1295" t="s">
        <v>17</v>
      </c>
      <c r="H1295" t="s">
        <v>199</v>
      </c>
      <c r="J1295" t="s">
        <v>316</v>
      </c>
      <c r="K1295" s="2">
        <v>5.9</v>
      </c>
      <c r="L1295">
        <v>24</v>
      </c>
      <c r="M1295">
        <f t="shared" si="20"/>
        <v>141.60000000000002</v>
      </c>
    </row>
    <row r="1296" spans="1:13">
      <c r="A1296" t="s">
        <v>314</v>
      </c>
      <c r="B1296" t="s">
        <v>315</v>
      </c>
      <c r="C1296" s="1">
        <v>39935</v>
      </c>
      <c r="D1296" t="s">
        <v>185</v>
      </c>
      <c r="E1296" t="s">
        <v>21</v>
      </c>
      <c r="F1296" t="s">
        <v>134</v>
      </c>
      <c r="G1296" t="s">
        <v>17</v>
      </c>
      <c r="H1296" t="s">
        <v>199</v>
      </c>
      <c r="J1296" t="s">
        <v>316</v>
      </c>
      <c r="K1296" s="2">
        <v>18.399999999999999</v>
      </c>
      <c r="L1296">
        <v>15</v>
      </c>
      <c r="M1296">
        <f t="shared" si="20"/>
        <v>276</v>
      </c>
    </row>
    <row r="1297" spans="1:13">
      <c r="A1297" t="s">
        <v>314</v>
      </c>
      <c r="B1297" t="s">
        <v>315</v>
      </c>
      <c r="C1297" s="1">
        <v>39487</v>
      </c>
      <c r="D1297" t="s">
        <v>147</v>
      </c>
      <c r="E1297" t="s">
        <v>50</v>
      </c>
      <c r="F1297" t="s">
        <v>51</v>
      </c>
      <c r="G1297" t="s">
        <v>39</v>
      </c>
      <c r="H1297" t="s">
        <v>199</v>
      </c>
      <c r="J1297" t="s">
        <v>316</v>
      </c>
      <c r="K1297" s="2">
        <v>33.25</v>
      </c>
      <c r="L1297">
        <v>20</v>
      </c>
      <c r="M1297">
        <f t="shared" si="20"/>
        <v>665</v>
      </c>
    </row>
    <row r="1298" spans="1:13">
      <c r="A1298" t="s">
        <v>314</v>
      </c>
      <c r="B1298" t="s">
        <v>315</v>
      </c>
      <c r="C1298" s="1">
        <v>39513</v>
      </c>
      <c r="D1298" t="s">
        <v>20</v>
      </c>
      <c r="E1298" t="s">
        <v>67</v>
      </c>
      <c r="F1298" t="s">
        <v>22</v>
      </c>
      <c r="G1298" t="s">
        <v>39</v>
      </c>
      <c r="H1298" t="s">
        <v>199</v>
      </c>
      <c r="J1298" t="s">
        <v>316</v>
      </c>
      <c r="K1298" s="2">
        <v>17.45</v>
      </c>
      <c r="L1298">
        <v>30</v>
      </c>
      <c r="M1298">
        <f t="shared" si="20"/>
        <v>523.5</v>
      </c>
    </row>
    <row r="1299" spans="1:13">
      <c r="A1299" t="s">
        <v>314</v>
      </c>
      <c r="B1299" t="s">
        <v>315</v>
      </c>
      <c r="C1299" s="1">
        <v>40109</v>
      </c>
      <c r="D1299" t="s">
        <v>102</v>
      </c>
      <c r="E1299" t="s">
        <v>15</v>
      </c>
      <c r="F1299" t="s">
        <v>47</v>
      </c>
      <c r="G1299" t="s">
        <v>17</v>
      </c>
      <c r="H1299" t="s">
        <v>199</v>
      </c>
      <c r="J1299" t="s">
        <v>316</v>
      </c>
      <c r="K1299" s="2">
        <v>31</v>
      </c>
      <c r="L1299">
        <v>21</v>
      </c>
      <c r="M1299">
        <f t="shared" si="20"/>
        <v>651</v>
      </c>
    </row>
    <row r="1300" spans="1:13">
      <c r="A1300" t="s">
        <v>314</v>
      </c>
      <c r="B1300" t="s">
        <v>315</v>
      </c>
      <c r="C1300" s="1">
        <v>39487</v>
      </c>
      <c r="D1300" t="s">
        <v>70</v>
      </c>
      <c r="E1300" t="s">
        <v>50</v>
      </c>
      <c r="F1300" t="s">
        <v>61</v>
      </c>
      <c r="G1300" t="s">
        <v>39</v>
      </c>
      <c r="H1300" t="s">
        <v>199</v>
      </c>
      <c r="J1300" t="s">
        <v>316</v>
      </c>
      <c r="K1300" s="2">
        <v>12</v>
      </c>
      <c r="L1300">
        <v>21</v>
      </c>
      <c r="M1300">
        <f t="shared" si="20"/>
        <v>252</v>
      </c>
    </row>
    <row r="1301" spans="1:13">
      <c r="A1301" t="s">
        <v>314</v>
      </c>
      <c r="B1301" t="s">
        <v>315</v>
      </c>
      <c r="C1301" s="1">
        <v>40112</v>
      </c>
      <c r="D1301" t="s">
        <v>62</v>
      </c>
      <c r="E1301" t="s">
        <v>24</v>
      </c>
      <c r="F1301" t="s">
        <v>63</v>
      </c>
      <c r="G1301" t="s">
        <v>39</v>
      </c>
      <c r="H1301" t="s">
        <v>199</v>
      </c>
      <c r="J1301" t="s">
        <v>316</v>
      </c>
      <c r="K1301" s="2">
        <v>38</v>
      </c>
      <c r="L1301">
        <v>30</v>
      </c>
      <c r="M1301">
        <f t="shared" si="20"/>
        <v>1140</v>
      </c>
    </row>
    <row r="1302" spans="1:13">
      <c r="A1302" t="s">
        <v>314</v>
      </c>
      <c r="B1302" t="s">
        <v>315</v>
      </c>
      <c r="C1302" s="1">
        <v>40112</v>
      </c>
      <c r="D1302" t="s">
        <v>170</v>
      </c>
      <c r="E1302" t="s">
        <v>24</v>
      </c>
      <c r="F1302" t="s">
        <v>101</v>
      </c>
      <c r="G1302" t="s">
        <v>39</v>
      </c>
      <c r="H1302" t="s">
        <v>199</v>
      </c>
      <c r="J1302" t="s">
        <v>316</v>
      </c>
      <c r="K1302" s="2">
        <v>9.5</v>
      </c>
      <c r="L1302">
        <v>30</v>
      </c>
      <c r="M1302">
        <f t="shared" si="20"/>
        <v>285</v>
      </c>
    </row>
    <row r="1303" spans="1:13">
      <c r="A1303" t="s">
        <v>314</v>
      </c>
      <c r="B1303" t="s">
        <v>315</v>
      </c>
      <c r="C1303" s="1">
        <v>39750</v>
      </c>
      <c r="D1303" t="s">
        <v>42</v>
      </c>
      <c r="E1303" t="s">
        <v>21</v>
      </c>
      <c r="F1303" t="s">
        <v>22</v>
      </c>
      <c r="G1303" t="s">
        <v>17</v>
      </c>
      <c r="H1303" t="s">
        <v>199</v>
      </c>
      <c r="J1303" t="s">
        <v>316</v>
      </c>
      <c r="K1303" s="2">
        <v>50</v>
      </c>
      <c r="L1303">
        <v>20</v>
      </c>
      <c r="M1303">
        <f t="shared" si="20"/>
        <v>1000</v>
      </c>
    </row>
    <row r="1304" spans="1:13">
      <c r="A1304" t="s">
        <v>314</v>
      </c>
      <c r="B1304" t="s">
        <v>315</v>
      </c>
      <c r="C1304" s="1">
        <v>40066</v>
      </c>
      <c r="D1304" t="s">
        <v>85</v>
      </c>
      <c r="E1304" t="s">
        <v>53</v>
      </c>
      <c r="F1304" t="s">
        <v>33</v>
      </c>
      <c r="G1304" t="s">
        <v>17</v>
      </c>
      <c r="H1304" t="s">
        <v>199</v>
      </c>
      <c r="J1304" t="s">
        <v>316</v>
      </c>
      <c r="K1304" s="2">
        <v>53</v>
      </c>
      <c r="L1304">
        <v>20</v>
      </c>
      <c r="M1304">
        <f t="shared" si="20"/>
        <v>1060</v>
      </c>
    </row>
    <row r="1305" spans="1:13">
      <c r="A1305" t="s">
        <v>314</v>
      </c>
      <c r="B1305" t="s">
        <v>315</v>
      </c>
      <c r="C1305" s="1">
        <v>39750</v>
      </c>
      <c r="D1305" t="s">
        <v>94</v>
      </c>
      <c r="E1305" t="s">
        <v>21</v>
      </c>
      <c r="F1305" t="s">
        <v>74</v>
      </c>
      <c r="G1305" t="s">
        <v>17</v>
      </c>
      <c r="H1305" t="s">
        <v>199</v>
      </c>
      <c r="J1305" t="s">
        <v>316</v>
      </c>
      <c r="K1305" s="2">
        <v>36.799999999999997</v>
      </c>
      <c r="L1305">
        <v>40</v>
      </c>
      <c r="M1305">
        <f t="shared" si="20"/>
        <v>1472</v>
      </c>
    </row>
    <row r="1306" spans="1:13">
      <c r="A1306" t="s">
        <v>314</v>
      </c>
      <c r="B1306" t="s">
        <v>315</v>
      </c>
      <c r="C1306" s="1">
        <v>39935</v>
      </c>
      <c r="D1306" t="s">
        <v>57</v>
      </c>
      <c r="E1306" t="s">
        <v>21</v>
      </c>
      <c r="F1306" t="s">
        <v>58</v>
      </c>
      <c r="G1306" t="s">
        <v>17</v>
      </c>
      <c r="H1306" t="s">
        <v>199</v>
      </c>
      <c r="J1306" t="s">
        <v>316</v>
      </c>
      <c r="K1306" s="2">
        <v>19</v>
      </c>
      <c r="L1306">
        <v>30</v>
      </c>
      <c r="M1306">
        <f t="shared" si="20"/>
        <v>570</v>
      </c>
    </row>
    <row r="1307" spans="1:13">
      <c r="A1307" t="s">
        <v>314</v>
      </c>
      <c r="B1307" t="s">
        <v>315</v>
      </c>
      <c r="C1307" s="1">
        <v>39750</v>
      </c>
      <c r="D1307" t="s">
        <v>133</v>
      </c>
      <c r="E1307" t="s">
        <v>21</v>
      </c>
      <c r="F1307" t="s">
        <v>134</v>
      </c>
      <c r="G1307" t="s">
        <v>17</v>
      </c>
      <c r="H1307" t="s">
        <v>199</v>
      </c>
      <c r="J1307" t="s">
        <v>316</v>
      </c>
      <c r="K1307" s="2">
        <v>7.7</v>
      </c>
      <c r="L1307">
        <v>12</v>
      </c>
      <c r="M1307">
        <f t="shared" si="20"/>
        <v>92.4</v>
      </c>
    </row>
    <row r="1308" spans="1:13">
      <c r="A1308" t="s">
        <v>314</v>
      </c>
      <c r="B1308" t="s">
        <v>315</v>
      </c>
      <c r="C1308" s="1">
        <v>39746</v>
      </c>
      <c r="D1308" t="s">
        <v>122</v>
      </c>
      <c r="E1308" t="s">
        <v>15</v>
      </c>
      <c r="F1308" t="s">
        <v>31</v>
      </c>
      <c r="G1308" t="s">
        <v>17</v>
      </c>
      <c r="H1308" t="s">
        <v>199</v>
      </c>
      <c r="J1308" t="s">
        <v>316</v>
      </c>
      <c r="K1308" s="2">
        <v>11.2</v>
      </c>
      <c r="L1308">
        <v>50</v>
      </c>
      <c r="M1308">
        <f t="shared" si="20"/>
        <v>560</v>
      </c>
    </row>
    <row r="1309" spans="1:13">
      <c r="A1309" t="s">
        <v>314</v>
      </c>
      <c r="B1309" t="s">
        <v>315</v>
      </c>
      <c r="C1309" s="1">
        <v>39746</v>
      </c>
      <c r="D1309" t="s">
        <v>85</v>
      </c>
      <c r="E1309" t="s">
        <v>15</v>
      </c>
      <c r="F1309" t="s">
        <v>33</v>
      </c>
      <c r="G1309" t="s">
        <v>17</v>
      </c>
      <c r="H1309" t="s">
        <v>199</v>
      </c>
      <c r="J1309" t="s">
        <v>316</v>
      </c>
      <c r="K1309" s="2">
        <v>42.4</v>
      </c>
      <c r="L1309">
        <v>20</v>
      </c>
      <c r="M1309">
        <f t="shared" si="20"/>
        <v>848</v>
      </c>
    </row>
    <row r="1310" spans="1:13">
      <c r="A1310" t="s">
        <v>314</v>
      </c>
      <c r="B1310" t="s">
        <v>315</v>
      </c>
      <c r="C1310" s="1">
        <v>39882</v>
      </c>
      <c r="D1310" t="s">
        <v>130</v>
      </c>
      <c r="E1310" t="s">
        <v>24</v>
      </c>
      <c r="F1310" t="s">
        <v>118</v>
      </c>
      <c r="G1310" t="s">
        <v>17</v>
      </c>
      <c r="H1310" t="s">
        <v>199</v>
      </c>
      <c r="J1310" t="s">
        <v>316</v>
      </c>
      <c r="K1310" s="2">
        <v>7.2</v>
      </c>
      <c r="L1310">
        <v>15</v>
      </c>
      <c r="M1310">
        <f t="shared" si="20"/>
        <v>108</v>
      </c>
    </row>
    <row r="1311" spans="1:13">
      <c r="A1311" t="s">
        <v>314</v>
      </c>
      <c r="B1311" t="s">
        <v>315</v>
      </c>
      <c r="C1311" s="1">
        <v>40109</v>
      </c>
      <c r="D1311" t="s">
        <v>121</v>
      </c>
      <c r="E1311" t="s">
        <v>15</v>
      </c>
      <c r="F1311" t="s">
        <v>41</v>
      </c>
      <c r="G1311" t="s">
        <v>17</v>
      </c>
      <c r="H1311" t="s">
        <v>199</v>
      </c>
      <c r="J1311" t="s">
        <v>316</v>
      </c>
      <c r="K1311" s="2">
        <v>21.5</v>
      </c>
      <c r="L1311">
        <v>30</v>
      </c>
      <c r="M1311">
        <f t="shared" si="20"/>
        <v>645</v>
      </c>
    </row>
    <row r="1312" spans="1:13">
      <c r="A1312" t="s">
        <v>314</v>
      </c>
      <c r="B1312" t="s">
        <v>315</v>
      </c>
      <c r="C1312" s="1">
        <v>40066</v>
      </c>
      <c r="D1312" t="s">
        <v>185</v>
      </c>
      <c r="E1312" t="s">
        <v>53</v>
      </c>
      <c r="F1312" t="s">
        <v>134</v>
      </c>
      <c r="G1312" t="s">
        <v>17</v>
      </c>
      <c r="H1312" t="s">
        <v>199</v>
      </c>
      <c r="J1312" t="s">
        <v>316</v>
      </c>
      <c r="K1312" s="2">
        <v>18.399999999999999</v>
      </c>
      <c r="L1312">
        <v>30</v>
      </c>
      <c r="M1312">
        <f t="shared" si="20"/>
        <v>552</v>
      </c>
    </row>
    <row r="1313" spans="1:13">
      <c r="A1313" t="s">
        <v>314</v>
      </c>
      <c r="B1313" t="s">
        <v>315</v>
      </c>
      <c r="C1313" s="1">
        <v>39574</v>
      </c>
      <c r="D1313" t="s">
        <v>64</v>
      </c>
      <c r="E1313" t="s">
        <v>24</v>
      </c>
      <c r="F1313" t="s">
        <v>35</v>
      </c>
      <c r="G1313" t="s">
        <v>39</v>
      </c>
      <c r="H1313" t="s">
        <v>199</v>
      </c>
      <c r="J1313" t="s">
        <v>316</v>
      </c>
      <c r="K1313" s="2">
        <v>9.1999999999999993</v>
      </c>
      <c r="L1313">
        <v>10</v>
      </c>
      <c r="M1313">
        <f t="shared" si="20"/>
        <v>92</v>
      </c>
    </row>
    <row r="1314" spans="1:13">
      <c r="A1314" t="s">
        <v>314</v>
      </c>
      <c r="B1314" t="s">
        <v>315</v>
      </c>
      <c r="C1314" s="1">
        <v>39574</v>
      </c>
      <c r="D1314" t="s">
        <v>153</v>
      </c>
      <c r="E1314" t="s">
        <v>24</v>
      </c>
      <c r="F1314" t="s">
        <v>125</v>
      </c>
      <c r="G1314" t="s">
        <v>39</v>
      </c>
      <c r="H1314" t="s">
        <v>199</v>
      </c>
      <c r="J1314" t="s">
        <v>316</v>
      </c>
      <c r="K1314" s="2">
        <v>23.25</v>
      </c>
      <c r="L1314">
        <v>20</v>
      </c>
      <c r="M1314">
        <f t="shared" si="20"/>
        <v>465</v>
      </c>
    </row>
    <row r="1315" spans="1:13">
      <c r="A1315" t="s">
        <v>314</v>
      </c>
      <c r="B1315" t="s">
        <v>315</v>
      </c>
      <c r="C1315" s="1">
        <v>39574</v>
      </c>
      <c r="D1315" t="s">
        <v>155</v>
      </c>
      <c r="E1315" t="s">
        <v>24</v>
      </c>
      <c r="F1315" t="s">
        <v>25</v>
      </c>
      <c r="G1315" t="s">
        <v>39</v>
      </c>
      <c r="H1315" t="s">
        <v>199</v>
      </c>
      <c r="J1315" t="s">
        <v>316</v>
      </c>
      <c r="K1315" s="2">
        <v>25</v>
      </c>
      <c r="L1315">
        <v>20</v>
      </c>
      <c r="M1315">
        <f t="shared" si="20"/>
        <v>500</v>
      </c>
    </row>
    <row r="1316" spans="1:13">
      <c r="A1316" t="s">
        <v>314</v>
      </c>
      <c r="B1316" t="s">
        <v>315</v>
      </c>
      <c r="C1316" s="1">
        <v>39921</v>
      </c>
      <c r="D1316" t="s">
        <v>23</v>
      </c>
      <c r="E1316" t="s">
        <v>24</v>
      </c>
      <c r="F1316" t="s">
        <v>25</v>
      </c>
      <c r="G1316" t="s">
        <v>17</v>
      </c>
      <c r="H1316" t="s">
        <v>199</v>
      </c>
      <c r="J1316" t="s">
        <v>316</v>
      </c>
      <c r="K1316" s="2">
        <v>40</v>
      </c>
      <c r="L1316">
        <v>10</v>
      </c>
      <c r="M1316">
        <f t="shared" si="20"/>
        <v>400</v>
      </c>
    </row>
    <row r="1317" spans="1:13">
      <c r="A1317" t="s">
        <v>314</v>
      </c>
      <c r="B1317" t="s">
        <v>315</v>
      </c>
      <c r="C1317" s="1">
        <v>39921</v>
      </c>
      <c r="D1317" t="s">
        <v>87</v>
      </c>
      <c r="E1317" t="s">
        <v>24</v>
      </c>
      <c r="F1317" t="s">
        <v>25</v>
      </c>
      <c r="G1317" t="s">
        <v>17</v>
      </c>
      <c r="H1317" t="s">
        <v>199</v>
      </c>
      <c r="J1317" t="s">
        <v>316</v>
      </c>
      <c r="K1317" s="2">
        <v>30</v>
      </c>
      <c r="L1317">
        <v>50</v>
      </c>
      <c r="M1317">
        <f t="shared" si="20"/>
        <v>1500</v>
      </c>
    </row>
    <row r="1318" spans="1:13">
      <c r="A1318" t="s">
        <v>314</v>
      </c>
      <c r="B1318" t="s">
        <v>315</v>
      </c>
      <c r="C1318" s="1">
        <v>39921</v>
      </c>
      <c r="D1318" t="s">
        <v>26</v>
      </c>
      <c r="E1318" t="s">
        <v>24</v>
      </c>
      <c r="F1318" t="s">
        <v>27</v>
      </c>
      <c r="G1318" t="s">
        <v>17</v>
      </c>
      <c r="H1318" t="s">
        <v>199</v>
      </c>
      <c r="J1318" t="s">
        <v>316</v>
      </c>
      <c r="K1318" s="2">
        <v>22</v>
      </c>
      <c r="L1318">
        <v>50</v>
      </c>
      <c r="M1318">
        <f t="shared" si="20"/>
        <v>1100</v>
      </c>
    </row>
    <row r="1319" spans="1:13">
      <c r="A1319" t="s">
        <v>314</v>
      </c>
      <c r="B1319" t="s">
        <v>315</v>
      </c>
      <c r="C1319" s="1">
        <v>39513</v>
      </c>
      <c r="D1319" t="s">
        <v>75</v>
      </c>
      <c r="E1319" t="s">
        <v>67</v>
      </c>
      <c r="F1319" t="s">
        <v>76</v>
      </c>
      <c r="G1319" t="s">
        <v>39</v>
      </c>
      <c r="H1319" t="s">
        <v>199</v>
      </c>
      <c r="J1319" t="s">
        <v>316</v>
      </c>
      <c r="K1319" s="2">
        <v>34.799999999999997</v>
      </c>
      <c r="L1319">
        <v>16</v>
      </c>
      <c r="M1319">
        <f t="shared" si="20"/>
        <v>556.79999999999995</v>
      </c>
    </row>
    <row r="1320" spans="1:13">
      <c r="A1320" t="s">
        <v>314</v>
      </c>
      <c r="B1320" t="s">
        <v>315</v>
      </c>
      <c r="C1320" s="1">
        <v>39882</v>
      </c>
      <c r="D1320" t="s">
        <v>42</v>
      </c>
      <c r="E1320" t="s">
        <v>24</v>
      </c>
      <c r="F1320" t="s">
        <v>22</v>
      </c>
      <c r="G1320" t="s">
        <v>17</v>
      </c>
      <c r="H1320" t="s">
        <v>199</v>
      </c>
      <c r="J1320" t="s">
        <v>316</v>
      </c>
      <c r="K1320" s="2">
        <v>50</v>
      </c>
      <c r="L1320">
        <v>30</v>
      </c>
      <c r="M1320">
        <f t="shared" si="20"/>
        <v>1500</v>
      </c>
    </row>
    <row r="1321" spans="1:13">
      <c r="A1321" t="s">
        <v>314</v>
      </c>
      <c r="B1321" t="s">
        <v>315</v>
      </c>
      <c r="C1321" s="1">
        <v>39513</v>
      </c>
      <c r="D1321" t="s">
        <v>71</v>
      </c>
      <c r="E1321" t="s">
        <v>67</v>
      </c>
      <c r="F1321" t="s">
        <v>51</v>
      </c>
      <c r="G1321" t="s">
        <v>39</v>
      </c>
      <c r="H1321" t="s">
        <v>199</v>
      </c>
      <c r="J1321" t="s">
        <v>316</v>
      </c>
      <c r="K1321" s="2">
        <v>7.75</v>
      </c>
      <c r="L1321">
        <v>20</v>
      </c>
      <c r="M1321">
        <f t="shared" si="20"/>
        <v>155</v>
      </c>
    </row>
    <row r="1322" spans="1:13">
      <c r="A1322" t="s">
        <v>314</v>
      </c>
      <c r="B1322" t="s">
        <v>315</v>
      </c>
      <c r="C1322" s="1">
        <v>39882</v>
      </c>
      <c r="D1322" t="s">
        <v>147</v>
      </c>
      <c r="E1322" t="s">
        <v>24</v>
      </c>
      <c r="F1322" t="s">
        <v>51</v>
      </c>
      <c r="G1322" t="s">
        <v>17</v>
      </c>
      <c r="H1322" t="s">
        <v>199</v>
      </c>
      <c r="J1322" t="s">
        <v>316</v>
      </c>
      <c r="K1322" s="2">
        <v>26.6</v>
      </c>
      <c r="L1322">
        <v>8</v>
      </c>
      <c r="M1322">
        <f t="shared" si="20"/>
        <v>212.8</v>
      </c>
    </row>
    <row r="1323" spans="1:13">
      <c r="A1323" t="s">
        <v>314</v>
      </c>
      <c r="B1323" t="s">
        <v>315</v>
      </c>
      <c r="C1323" s="1">
        <v>40091</v>
      </c>
      <c r="D1323" t="s">
        <v>95</v>
      </c>
      <c r="E1323" t="s">
        <v>66</v>
      </c>
      <c r="F1323" t="s">
        <v>27</v>
      </c>
      <c r="G1323" t="s">
        <v>17</v>
      </c>
      <c r="H1323" t="s">
        <v>199</v>
      </c>
      <c r="J1323" t="s">
        <v>316</v>
      </c>
      <c r="K1323" s="2">
        <v>21.05</v>
      </c>
      <c r="L1323">
        <v>10</v>
      </c>
      <c r="M1323">
        <f t="shared" si="20"/>
        <v>210.5</v>
      </c>
    </row>
    <row r="1324" spans="1:13">
      <c r="A1324" t="s">
        <v>314</v>
      </c>
      <c r="B1324" t="s">
        <v>315</v>
      </c>
      <c r="C1324" s="1">
        <v>40091</v>
      </c>
      <c r="D1324" t="s">
        <v>137</v>
      </c>
      <c r="E1324" t="s">
        <v>66</v>
      </c>
      <c r="F1324" t="s">
        <v>76</v>
      </c>
      <c r="G1324" t="s">
        <v>17</v>
      </c>
      <c r="H1324" t="s">
        <v>199</v>
      </c>
      <c r="J1324" t="s">
        <v>316</v>
      </c>
      <c r="K1324" s="2">
        <v>12.5</v>
      </c>
      <c r="L1324">
        <v>3</v>
      </c>
      <c r="M1324">
        <f t="shared" si="20"/>
        <v>37.5</v>
      </c>
    </row>
    <row r="1325" spans="1:13">
      <c r="A1325" t="s">
        <v>314</v>
      </c>
      <c r="B1325" t="s">
        <v>315</v>
      </c>
      <c r="C1325" s="1">
        <v>40091</v>
      </c>
      <c r="D1325" t="s">
        <v>20</v>
      </c>
      <c r="E1325" t="s">
        <v>66</v>
      </c>
      <c r="F1325" t="s">
        <v>22</v>
      </c>
      <c r="G1325" t="s">
        <v>17</v>
      </c>
      <c r="H1325" t="s">
        <v>199</v>
      </c>
      <c r="J1325" t="s">
        <v>316</v>
      </c>
      <c r="K1325" s="2">
        <v>17.45</v>
      </c>
      <c r="L1325">
        <v>15</v>
      </c>
      <c r="M1325">
        <f t="shared" si="20"/>
        <v>261.75</v>
      </c>
    </row>
    <row r="1326" spans="1:13">
      <c r="A1326" t="s">
        <v>314</v>
      </c>
      <c r="B1326" t="s">
        <v>315</v>
      </c>
      <c r="C1326" s="1">
        <v>39483</v>
      </c>
      <c r="D1326" t="s">
        <v>48</v>
      </c>
      <c r="E1326" t="s">
        <v>103</v>
      </c>
      <c r="F1326" t="s">
        <v>22</v>
      </c>
      <c r="G1326" t="s">
        <v>39</v>
      </c>
      <c r="H1326" t="s">
        <v>199</v>
      </c>
      <c r="J1326" t="s">
        <v>316</v>
      </c>
      <c r="K1326" s="2">
        <v>39</v>
      </c>
      <c r="L1326">
        <v>16</v>
      </c>
      <c r="M1326">
        <f t="shared" si="20"/>
        <v>624</v>
      </c>
    </row>
    <row r="1327" spans="1:13">
      <c r="A1327" t="s">
        <v>314</v>
      </c>
      <c r="B1327" t="s">
        <v>315</v>
      </c>
      <c r="C1327" s="1">
        <v>39483</v>
      </c>
      <c r="D1327" t="s">
        <v>20</v>
      </c>
      <c r="E1327" t="s">
        <v>103</v>
      </c>
      <c r="F1327" t="s">
        <v>22</v>
      </c>
      <c r="G1327" t="s">
        <v>39</v>
      </c>
      <c r="H1327" t="s">
        <v>199</v>
      </c>
      <c r="J1327" t="s">
        <v>316</v>
      </c>
      <c r="K1327" s="2">
        <v>17.45</v>
      </c>
      <c r="L1327">
        <v>12</v>
      </c>
      <c r="M1327">
        <f t="shared" si="20"/>
        <v>209.39999999999998</v>
      </c>
    </row>
    <row r="1328" spans="1:13">
      <c r="A1328" t="s">
        <v>314</v>
      </c>
      <c r="B1328" t="s">
        <v>315</v>
      </c>
      <c r="C1328" s="1">
        <v>39483</v>
      </c>
      <c r="D1328" t="s">
        <v>155</v>
      </c>
      <c r="E1328" t="s">
        <v>103</v>
      </c>
      <c r="F1328" t="s">
        <v>25</v>
      </c>
      <c r="G1328" t="s">
        <v>39</v>
      </c>
      <c r="H1328" t="s">
        <v>199</v>
      </c>
      <c r="J1328" t="s">
        <v>316</v>
      </c>
      <c r="K1328" s="2">
        <v>25</v>
      </c>
      <c r="L1328">
        <v>50</v>
      </c>
      <c r="M1328">
        <f t="shared" si="20"/>
        <v>1250</v>
      </c>
    </row>
    <row r="1329" spans="1:13">
      <c r="A1329" t="s">
        <v>314</v>
      </c>
      <c r="B1329" t="s">
        <v>315</v>
      </c>
      <c r="C1329" s="1">
        <v>39456</v>
      </c>
      <c r="D1329" t="s">
        <v>102</v>
      </c>
      <c r="E1329" t="s">
        <v>21</v>
      </c>
      <c r="F1329" t="s">
        <v>47</v>
      </c>
      <c r="G1329" t="s">
        <v>39</v>
      </c>
      <c r="H1329" t="s">
        <v>199</v>
      </c>
      <c r="J1329" t="s">
        <v>316</v>
      </c>
      <c r="K1329" s="2">
        <v>31</v>
      </c>
      <c r="L1329">
        <v>15</v>
      </c>
      <c r="M1329">
        <f t="shared" si="20"/>
        <v>465</v>
      </c>
    </row>
    <row r="1330" spans="1:13">
      <c r="A1330" t="s">
        <v>314</v>
      </c>
      <c r="B1330" t="s">
        <v>315</v>
      </c>
      <c r="C1330" s="1">
        <v>39456</v>
      </c>
      <c r="D1330" t="s">
        <v>109</v>
      </c>
      <c r="E1330" t="s">
        <v>21</v>
      </c>
      <c r="F1330" t="s">
        <v>56</v>
      </c>
      <c r="G1330" t="s">
        <v>39</v>
      </c>
      <c r="H1330" t="s">
        <v>199</v>
      </c>
      <c r="J1330" t="s">
        <v>316</v>
      </c>
      <c r="K1330" s="2">
        <v>18</v>
      </c>
      <c r="L1330">
        <v>21</v>
      </c>
      <c r="M1330">
        <f t="shared" si="20"/>
        <v>378</v>
      </c>
    </row>
    <row r="1331" spans="1:13">
      <c r="A1331" t="s">
        <v>314</v>
      </c>
      <c r="B1331" t="s">
        <v>315</v>
      </c>
      <c r="C1331" s="1">
        <v>40092</v>
      </c>
      <c r="D1331" t="s">
        <v>96</v>
      </c>
      <c r="E1331" t="s">
        <v>15</v>
      </c>
      <c r="F1331" t="s">
        <v>97</v>
      </c>
      <c r="G1331" t="s">
        <v>17</v>
      </c>
      <c r="H1331" t="s">
        <v>199</v>
      </c>
      <c r="J1331" t="s">
        <v>316</v>
      </c>
      <c r="K1331" s="2">
        <v>18</v>
      </c>
      <c r="L1331">
        <v>20</v>
      </c>
      <c r="M1331">
        <f t="shared" si="20"/>
        <v>360</v>
      </c>
    </row>
    <row r="1332" spans="1:13">
      <c r="A1332" t="s">
        <v>314</v>
      </c>
      <c r="B1332" t="s">
        <v>315</v>
      </c>
      <c r="C1332" s="1">
        <v>39513</v>
      </c>
      <c r="D1332" t="s">
        <v>38</v>
      </c>
      <c r="E1332" t="s">
        <v>67</v>
      </c>
      <c r="F1332" t="s">
        <v>29</v>
      </c>
      <c r="G1332" t="s">
        <v>39</v>
      </c>
      <c r="H1332" t="s">
        <v>199</v>
      </c>
      <c r="J1332" t="s">
        <v>316</v>
      </c>
      <c r="K1332" s="2">
        <v>49.3</v>
      </c>
      <c r="L1332">
        <v>14</v>
      </c>
      <c r="M1332">
        <f t="shared" si="20"/>
        <v>690.19999999999993</v>
      </c>
    </row>
    <row r="1333" spans="1:13">
      <c r="A1333" t="s">
        <v>314</v>
      </c>
      <c r="B1333" t="s">
        <v>315</v>
      </c>
      <c r="C1333" s="1">
        <v>40066</v>
      </c>
      <c r="D1333" t="s">
        <v>110</v>
      </c>
      <c r="E1333" t="s">
        <v>53</v>
      </c>
      <c r="F1333" t="s">
        <v>74</v>
      </c>
      <c r="G1333" t="s">
        <v>17</v>
      </c>
      <c r="H1333" t="s">
        <v>199</v>
      </c>
      <c r="J1333" t="s">
        <v>316</v>
      </c>
      <c r="K1333" s="2">
        <v>14</v>
      </c>
      <c r="L1333">
        <v>30</v>
      </c>
      <c r="M1333">
        <f t="shared" si="20"/>
        <v>420</v>
      </c>
    </row>
    <row r="1334" spans="1:13">
      <c r="A1334" t="s">
        <v>314</v>
      </c>
      <c r="B1334" t="s">
        <v>315</v>
      </c>
      <c r="C1334" s="1">
        <v>40112</v>
      </c>
      <c r="D1334" t="s">
        <v>123</v>
      </c>
      <c r="E1334" t="s">
        <v>24</v>
      </c>
      <c r="F1334" t="s">
        <v>63</v>
      </c>
      <c r="G1334" t="s">
        <v>39</v>
      </c>
      <c r="H1334" t="s">
        <v>199</v>
      </c>
      <c r="J1334" t="s">
        <v>316</v>
      </c>
      <c r="K1334" s="2">
        <v>19.5</v>
      </c>
      <c r="L1334">
        <v>14</v>
      </c>
      <c r="M1334">
        <f t="shared" si="20"/>
        <v>273</v>
      </c>
    </row>
    <row r="1335" spans="1:13">
      <c r="A1335" t="s">
        <v>314</v>
      </c>
      <c r="B1335" t="s">
        <v>315</v>
      </c>
      <c r="C1335" s="1">
        <v>39517</v>
      </c>
      <c r="D1335" t="s">
        <v>87</v>
      </c>
      <c r="E1335" t="s">
        <v>67</v>
      </c>
      <c r="F1335" t="s">
        <v>25</v>
      </c>
      <c r="G1335" t="s">
        <v>39</v>
      </c>
      <c r="H1335" t="s">
        <v>199</v>
      </c>
      <c r="J1335" t="s">
        <v>316</v>
      </c>
      <c r="K1335" s="2">
        <v>30</v>
      </c>
      <c r="L1335">
        <v>8</v>
      </c>
      <c r="M1335">
        <f t="shared" si="20"/>
        <v>240</v>
      </c>
    </row>
    <row r="1336" spans="1:13">
      <c r="A1336" t="s">
        <v>314</v>
      </c>
      <c r="B1336" t="s">
        <v>315</v>
      </c>
      <c r="C1336" s="1">
        <v>39517</v>
      </c>
      <c r="D1336" t="s">
        <v>124</v>
      </c>
      <c r="E1336" t="s">
        <v>67</v>
      </c>
      <c r="F1336" t="s">
        <v>125</v>
      </c>
      <c r="G1336" t="s">
        <v>39</v>
      </c>
      <c r="H1336" t="s">
        <v>199</v>
      </c>
      <c r="J1336" t="s">
        <v>316</v>
      </c>
      <c r="K1336" s="2">
        <v>6</v>
      </c>
      <c r="L1336">
        <v>20</v>
      </c>
      <c r="M1336">
        <f t="shared" si="20"/>
        <v>120</v>
      </c>
    </row>
    <row r="1337" spans="1:13">
      <c r="A1337" t="s">
        <v>314</v>
      </c>
      <c r="B1337" t="s">
        <v>315</v>
      </c>
      <c r="C1337" s="1">
        <v>40112</v>
      </c>
      <c r="D1337" t="s">
        <v>43</v>
      </c>
      <c r="E1337" t="s">
        <v>24</v>
      </c>
      <c r="F1337" t="s">
        <v>41</v>
      </c>
      <c r="G1337" t="s">
        <v>39</v>
      </c>
      <c r="H1337" t="s">
        <v>199</v>
      </c>
      <c r="J1337" t="s">
        <v>316</v>
      </c>
      <c r="K1337" s="2">
        <v>36</v>
      </c>
      <c r="L1337">
        <v>25</v>
      </c>
      <c r="M1337">
        <f t="shared" si="20"/>
        <v>900</v>
      </c>
    </row>
    <row r="1338" spans="1:13">
      <c r="A1338" t="s">
        <v>314</v>
      </c>
      <c r="B1338" t="s">
        <v>315</v>
      </c>
      <c r="C1338" s="1">
        <v>39737</v>
      </c>
      <c r="D1338" t="s">
        <v>14</v>
      </c>
      <c r="E1338" t="s">
        <v>103</v>
      </c>
      <c r="F1338" t="s">
        <v>16</v>
      </c>
      <c r="G1338" t="s">
        <v>17</v>
      </c>
      <c r="H1338" t="s">
        <v>199</v>
      </c>
      <c r="J1338" t="s">
        <v>316</v>
      </c>
      <c r="K1338" s="2">
        <v>5.9</v>
      </c>
      <c r="L1338">
        <v>15</v>
      </c>
      <c r="M1338">
        <f t="shared" si="20"/>
        <v>88.5</v>
      </c>
    </row>
    <row r="1339" spans="1:13">
      <c r="A1339" t="s">
        <v>317</v>
      </c>
      <c r="B1339" t="s">
        <v>318</v>
      </c>
      <c r="C1339" s="1">
        <v>39453</v>
      </c>
      <c r="D1339" t="s">
        <v>55</v>
      </c>
      <c r="E1339" t="s">
        <v>24</v>
      </c>
      <c r="F1339" t="s">
        <v>56</v>
      </c>
      <c r="G1339" t="s">
        <v>39</v>
      </c>
      <c r="H1339" t="s">
        <v>176</v>
      </c>
      <c r="I1339" t="s">
        <v>319</v>
      </c>
      <c r="J1339" t="s">
        <v>320</v>
      </c>
      <c r="K1339" s="2">
        <v>263.5</v>
      </c>
      <c r="L1339">
        <v>30</v>
      </c>
      <c r="M1339">
        <f t="shared" si="20"/>
        <v>7905</v>
      </c>
    </row>
    <row r="1340" spans="1:13">
      <c r="A1340" t="s">
        <v>317</v>
      </c>
      <c r="B1340" t="s">
        <v>318</v>
      </c>
      <c r="C1340" s="1">
        <v>40025</v>
      </c>
      <c r="D1340" t="s">
        <v>116</v>
      </c>
      <c r="E1340" t="s">
        <v>21</v>
      </c>
      <c r="F1340" t="s">
        <v>22</v>
      </c>
      <c r="G1340" t="s">
        <v>17</v>
      </c>
      <c r="H1340" t="s">
        <v>176</v>
      </c>
      <c r="I1340" t="s">
        <v>319</v>
      </c>
      <c r="J1340" t="s">
        <v>320</v>
      </c>
      <c r="K1340" s="2">
        <v>15</v>
      </c>
      <c r="L1340">
        <v>15</v>
      </c>
      <c r="M1340">
        <f t="shared" si="20"/>
        <v>225</v>
      </c>
    </row>
    <row r="1341" spans="1:13">
      <c r="A1341" t="s">
        <v>317</v>
      </c>
      <c r="B1341" t="s">
        <v>318</v>
      </c>
      <c r="C1341" s="1">
        <v>40025</v>
      </c>
      <c r="D1341" t="s">
        <v>55</v>
      </c>
      <c r="E1341" t="s">
        <v>21</v>
      </c>
      <c r="F1341" t="s">
        <v>56</v>
      </c>
      <c r="G1341" t="s">
        <v>17</v>
      </c>
      <c r="H1341" t="s">
        <v>176</v>
      </c>
      <c r="I1341" t="s">
        <v>319</v>
      </c>
      <c r="J1341" t="s">
        <v>320</v>
      </c>
      <c r="K1341" s="2">
        <v>263.5</v>
      </c>
      <c r="L1341">
        <v>15</v>
      </c>
      <c r="M1341">
        <f t="shared" si="20"/>
        <v>3952.5</v>
      </c>
    </row>
    <row r="1342" spans="1:13">
      <c r="A1342" t="s">
        <v>317</v>
      </c>
      <c r="B1342" t="s">
        <v>318</v>
      </c>
      <c r="C1342" s="1">
        <v>39453</v>
      </c>
      <c r="D1342" t="s">
        <v>38</v>
      </c>
      <c r="E1342" t="s">
        <v>24</v>
      </c>
      <c r="F1342" t="s">
        <v>29</v>
      </c>
      <c r="G1342" t="s">
        <v>39</v>
      </c>
      <c r="H1342" t="s">
        <v>176</v>
      </c>
      <c r="I1342" t="s">
        <v>319</v>
      </c>
      <c r="J1342" t="s">
        <v>320</v>
      </c>
      <c r="K1342" s="2">
        <v>49.3</v>
      </c>
      <c r="L1342">
        <v>20</v>
      </c>
      <c r="M1342">
        <f t="shared" si="20"/>
        <v>986</v>
      </c>
    </row>
    <row r="1343" spans="1:13">
      <c r="A1343" t="s">
        <v>317</v>
      </c>
      <c r="B1343" t="s">
        <v>318</v>
      </c>
      <c r="C1343" s="1">
        <v>40081</v>
      </c>
      <c r="D1343" t="s">
        <v>64</v>
      </c>
      <c r="E1343" t="s">
        <v>15</v>
      </c>
      <c r="F1343" t="s">
        <v>35</v>
      </c>
      <c r="G1343" t="s">
        <v>17</v>
      </c>
      <c r="H1343" t="s">
        <v>176</v>
      </c>
      <c r="I1343" t="s">
        <v>319</v>
      </c>
      <c r="J1343" t="s">
        <v>320</v>
      </c>
      <c r="K1343" s="2">
        <v>9.1999999999999993</v>
      </c>
      <c r="L1343">
        <v>30</v>
      </c>
      <c r="M1343">
        <f t="shared" si="20"/>
        <v>276</v>
      </c>
    </row>
    <row r="1344" spans="1:13">
      <c r="A1344" t="s">
        <v>317</v>
      </c>
      <c r="B1344" t="s">
        <v>318</v>
      </c>
      <c r="C1344" s="1">
        <v>40025</v>
      </c>
      <c r="D1344" t="s">
        <v>62</v>
      </c>
      <c r="E1344" t="s">
        <v>21</v>
      </c>
      <c r="F1344" t="s">
        <v>63</v>
      </c>
      <c r="G1344" t="s">
        <v>17</v>
      </c>
      <c r="H1344" t="s">
        <v>176</v>
      </c>
      <c r="I1344" t="s">
        <v>319</v>
      </c>
      <c r="J1344" t="s">
        <v>320</v>
      </c>
      <c r="K1344" s="2">
        <v>38</v>
      </c>
      <c r="L1344">
        <v>14</v>
      </c>
      <c r="M1344">
        <f t="shared" si="20"/>
        <v>532</v>
      </c>
    </row>
    <row r="1345" spans="1:13">
      <c r="A1345" t="s">
        <v>317</v>
      </c>
      <c r="B1345" t="s">
        <v>318</v>
      </c>
      <c r="C1345" s="1">
        <v>39516</v>
      </c>
      <c r="D1345" t="s">
        <v>57</v>
      </c>
      <c r="E1345" t="s">
        <v>15</v>
      </c>
      <c r="F1345" t="s">
        <v>58</v>
      </c>
      <c r="G1345" t="s">
        <v>39</v>
      </c>
      <c r="H1345" t="s">
        <v>176</v>
      </c>
      <c r="I1345" t="s">
        <v>319</v>
      </c>
      <c r="J1345" t="s">
        <v>320</v>
      </c>
      <c r="K1345" s="2">
        <v>19</v>
      </c>
      <c r="L1345">
        <v>30</v>
      </c>
      <c r="M1345">
        <f t="shared" si="20"/>
        <v>570</v>
      </c>
    </row>
    <row r="1346" spans="1:13">
      <c r="A1346" t="s">
        <v>317</v>
      </c>
      <c r="B1346" t="s">
        <v>318</v>
      </c>
      <c r="C1346" s="1">
        <v>40060</v>
      </c>
      <c r="D1346" t="s">
        <v>170</v>
      </c>
      <c r="E1346" t="s">
        <v>89</v>
      </c>
      <c r="F1346" t="s">
        <v>101</v>
      </c>
      <c r="G1346" t="s">
        <v>17</v>
      </c>
      <c r="H1346" t="s">
        <v>176</v>
      </c>
      <c r="I1346" t="s">
        <v>319</v>
      </c>
      <c r="J1346" t="s">
        <v>320</v>
      </c>
      <c r="K1346" s="2">
        <v>9.5</v>
      </c>
      <c r="L1346">
        <v>6</v>
      </c>
      <c r="M1346">
        <f t="shared" si="20"/>
        <v>57</v>
      </c>
    </row>
    <row r="1347" spans="1:13">
      <c r="A1347" t="s">
        <v>317</v>
      </c>
      <c r="B1347" t="s">
        <v>318</v>
      </c>
      <c r="C1347" s="1">
        <v>39560</v>
      </c>
      <c r="D1347" t="s">
        <v>34</v>
      </c>
      <c r="E1347" t="s">
        <v>24</v>
      </c>
      <c r="F1347" t="s">
        <v>35</v>
      </c>
      <c r="G1347" t="s">
        <v>39</v>
      </c>
      <c r="H1347" t="s">
        <v>176</v>
      </c>
      <c r="I1347" t="s">
        <v>319</v>
      </c>
      <c r="J1347" t="s">
        <v>320</v>
      </c>
      <c r="K1347" s="2">
        <v>10</v>
      </c>
      <c r="L1347">
        <v>20</v>
      </c>
      <c r="M1347">
        <f t="shared" ref="M1347:M1410" si="21">K1347*L1347</f>
        <v>200</v>
      </c>
    </row>
    <row r="1348" spans="1:13">
      <c r="A1348" t="s">
        <v>317</v>
      </c>
      <c r="B1348" t="s">
        <v>318</v>
      </c>
      <c r="C1348" s="1">
        <v>40025</v>
      </c>
      <c r="D1348" t="s">
        <v>52</v>
      </c>
      <c r="E1348" t="s">
        <v>24</v>
      </c>
      <c r="F1348" t="s">
        <v>54</v>
      </c>
      <c r="G1348" t="s">
        <v>17</v>
      </c>
      <c r="H1348" t="s">
        <v>176</v>
      </c>
      <c r="I1348" t="s">
        <v>319</v>
      </c>
      <c r="J1348" t="s">
        <v>320</v>
      </c>
      <c r="K1348" s="2">
        <v>55</v>
      </c>
      <c r="L1348">
        <v>30</v>
      </c>
      <c r="M1348">
        <f t="shared" si="21"/>
        <v>1650</v>
      </c>
    </row>
    <row r="1349" spans="1:13">
      <c r="A1349" t="s">
        <v>317</v>
      </c>
      <c r="B1349" t="s">
        <v>318</v>
      </c>
      <c r="C1349" s="1">
        <v>40060</v>
      </c>
      <c r="D1349" t="s">
        <v>73</v>
      </c>
      <c r="E1349" t="s">
        <v>89</v>
      </c>
      <c r="F1349" t="s">
        <v>74</v>
      </c>
      <c r="G1349" t="s">
        <v>17</v>
      </c>
      <c r="H1349" t="s">
        <v>176</v>
      </c>
      <c r="I1349" t="s">
        <v>319</v>
      </c>
      <c r="J1349" t="s">
        <v>320</v>
      </c>
      <c r="K1349" s="2">
        <v>19.45</v>
      </c>
      <c r="L1349">
        <v>28</v>
      </c>
      <c r="M1349">
        <f t="shared" si="21"/>
        <v>544.6</v>
      </c>
    </row>
    <row r="1350" spans="1:13">
      <c r="A1350" t="s">
        <v>317</v>
      </c>
      <c r="B1350" t="s">
        <v>318</v>
      </c>
      <c r="C1350" s="1">
        <v>39939</v>
      </c>
      <c r="D1350" t="s">
        <v>75</v>
      </c>
      <c r="E1350" t="s">
        <v>89</v>
      </c>
      <c r="F1350" t="s">
        <v>76</v>
      </c>
      <c r="G1350" t="s">
        <v>17</v>
      </c>
      <c r="H1350" t="s">
        <v>176</v>
      </c>
      <c r="I1350" t="s">
        <v>319</v>
      </c>
      <c r="J1350" t="s">
        <v>320</v>
      </c>
      <c r="K1350" s="2">
        <v>34.799999999999997</v>
      </c>
      <c r="L1350">
        <v>9</v>
      </c>
      <c r="M1350">
        <f t="shared" si="21"/>
        <v>313.2</v>
      </c>
    </row>
    <row r="1351" spans="1:13">
      <c r="A1351" t="s">
        <v>317</v>
      </c>
      <c r="B1351" t="s">
        <v>318</v>
      </c>
      <c r="C1351" s="1">
        <v>39545</v>
      </c>
      <c r="D1351" t="s">
        <v>88</v>
      </c>
      <c r="E1351" t="s">
        <v>15</v>
      </c>
      <c r="F1351" t="s">
        <v>51</v>
      </c>
      <c r="G1351" t="s">
        <v>39</v>
      </c>
      <c r="H1351" t="s">
        <v>176</v>
      </c>
      <c r="I1351" t="s">
        <v>319</v>
      </c>
      <c r="J1351" t="s">
        <v>320</v>
      </c>
      <c r="K1351" s="2">
        <v>123.79</v>
      </c>
      <c r="L1351">
        <v>2</v>
      </c>
      <c r="M1351">
        <f t="shared" si="21"/>
        <v>247.58</v>
      </c>
    </row>
    <row r="1352" spans="1:13">
      <c r="A1352" t="s">
        <v>317</v>
      </c>
      <c r="B1352" t="s">
        <v>318</v>
      </c>
      <c r="C1352" s="1">
        <v>39568</v>
      </c>
      <c r="D1352" t="s">
        <v>86</v>
      </c>
      <c r="E1352" t="s">
        <v>24</v>
      </c>
      <c r="F1352" t="s">
        <v>54</v>
      </c>
      <c r="G1352" t="s">
        <v>39</v>
      </c>
      <c r="H1352" t="s">
        <v>176</v>
      </c>
      <c r="I1352" t="s">
        <v>319</v>
      </c>
      <c r="J1352" t="s">
        <v>320</v>
      </c>
      <c r="K1352" s="2">
        <v>34</v>
      </c>
      <c r="L1352">
        <v>15</v>
      </c>
      <c r="M1352">
        <f t="shared" si="21"/>
        <v>510</v>
      </c>
    </row>
    <row r="1353" spans="1:13">
      <c r="A1353" t="s">
        <v>317</v>
      </c>
      <c r="B1353" t="s">
        <v>318</v>
      </c>
      <c r="C1353" s="1">
        <v>39998</v>
      </c>
      <c r="D1353" t="s">
        <v>44</v>
      </c>
      <c r="E1353" t="s">
        <v>67</v>
      </c>
      <c r="F1353" t="s">
        <v>45</v>
      </c>
      <c r="G1353" t="s">
        <v>17</v>
      </c>
      <c r="H1353" t="s">
        <v>176</v>
      </c>
      <c r="I1353" t="s">
        <v>319</v>
      </c>
      <c r="J1353" t="s">
        <v>320</v>
      </c>
      <c r="K1353" s="2">
        <v>18</v>
      </c>
      <c r="L1353">
        <v>4</v>
      </c>
      <c r="M1353">
        <f t="shared" si="21"/>
        <v>72</v>
      </c>
    </row>
    <row r="1354" spans="1:13">
      <c r="A1354" t="s">
        <v>317</v>
      </c>
      <c r="B1354" t="s">
        <v>318</v>
      </c>
      <c r="C1354" s="1">
        <v>39939</v>
      </c>
      <c r="D1354" t="s">
        <v>131</v>
      </c>
      <c r="E1354" t="s">
        <v>89</v>
      </c>
      <c r="F1354" t="s">
        <v>132</v>
      </c>
      <c r="G1354" t="s">
        <v>17</v>
      </c>
      <c r="H1354" t="s">
        <v>176</v>
      </c>
      <c r="I1354" t="s">
        <v>319</v>
      </c>
      <c r="J1354" t="s">
        <v>320</v>
      </c>
      <c r="K1354" s="2">
        <v>21</v>
      </c>
      <c r="L1354">
        <v>3</v>
      </c>
      <c r="M1354">
        <f t="shared" si="21"/>
        <v>63</v>
      </c>
    </row>
    <row r="1355" spans="1:13">
      <c r="A1355" t="s">
        <v>317</v>
      </c>
      <c r="B1355" t="s">
        <v>318</v>
      </c>
      <c r="C1355" s="1">
        <v>40081</v>
      </c>
      <c r="D1355" t="s">
        <v>147</v>
      </c>
      <c r="E1355" t="s">
        <v>15</v>
      </c>
      <c r="F1355" t="s">
        <v>51</v>
      </c>
      <c r="G1355" t="s">
        <v>17</v>
      </c>
      <c r="H1355" t="s">
        <v>176</v>
      </c>
      <c r="I1355" t="s">
        <v>319</v>
      </c>
      <c r="J1355" t="s">
        <v>320</v>
      </c>
      <c r="K1355" s="2">
        <v>33.25</v>
      </c>
      <c r="L1355">
        <v>28</v>
      </c>
      <c r="M1355">
        <f t="shared" si="21"/>
        <v>931</v>
      </c>
    </row>
    <row r="1356" spans="1:13">
      <c r="A1356" t="s">
        <v>317</v>
      </c>
      <c r="B1356" t="s">
        <v>318</v>
      </c>
      <c r="C1356" s="1">
        <v>39545</v>
      </c>
      <c r="D1356" t="s">
        <v>111</v>
      </c>
      <c r="E1356" t="s">
        <v>15</v>
      </c>
      <c r="F1356" t="s">
        <v>37</v>
      </c>
      <c r="G1356" t="s">
        <v>39</v>
      </c>
      <c r="H1356" t="s">
        <v>176</v>
      </c>
      <c r="I1356" t="s">
        <v>319</v>
      </c>
      <c r="J1356" t="s">
        <v>320</v>
      </c>
      <c r="K1356" s="2">
        <v>18</v>
      </c>
      <c r="L1356">
        <v>8</v>
      </c>
      <c r="M1356">
        <f t="shared" si="21"/>
        <v>144</v>
      </c>
    </row>
    <row r="1357" spans="1:13">
      <c r="A1357" t="s">
        <v>317</v>
      </c>
      <c r="B1357" t="s">
        <v>318</v>
      </c>
      <c r="C1357" s="1">
        <v>40060</v>
      </c>
      <c r="D1357" t="s">
        <v>153</v>
      </c>
      <c r="E1357" t="s">
        <v>89</v>
      </c>
      <c r="F1357" t="s">
        <v>125</v>
      </c>
      <c r="G1357" t="s">
        <v>17</v>
      </c>
      <c r="H1357" t="s">
        <v>176</v>
      </c>
      <c r="I1357" t="s">
        <v>319</v>
      </c>
      <c r="J1357" t="s">
        <v>320</v>
      </c>
      <c r="K1357" s="2">
        <v>23.25</v>
      </c>
      <c r="L1357">
        <v>3</v>
      </c>
      <c r="M1357">
        <f t="shared" si="21"/>
        <v>69.75</v>
      </c>
    </row>
    <row r="1358" spans="1:13">
      <c r="A1358" t="s">
        <v>317</v>
      </c>
      <c r="B1358" t="s">
        <v>318</v>
      </c>
      <c r="C1358" s="1">
        <v>40081</v>
      </c>
      <c r="D1358" t="s">
        <v>34</v>
      </c>
      <c r="E1358" t="s">
        <v>15</v>
      </c>
      <c r="F1358" t="s">
        <v>35</v>
      </c>
      <c r="G1358" t="s">
        <v>17</v>
      </c>
      <c r="H1358" t="s">
        <v>176</v>
      </c>
      <c r="I1358" t="s">
        <v>319</v>
      </c>
      <c r="J1358" t="s">
        <v>320</v>
      </c>
      <c r="K1358" s="2">
        <v>10</v>
      </c>
      <c r="L1358">
        <v>12</v>
      </c>
      <c r="M1358">
        <f t="shared" si="21"/>
        <v>120</v>
      </c>
    </row>
    <row r="1359" spans="1:13">
      <c r="A1359" t="s">
        <v>317</v>
      </c>
      <c r="B1359" t="s">
        <v>318</v>
      </c>
      <c r="C1359" s="1">
        <v>39939</v>
      </c>
      <c r="D1359" t="s">
        <v>40</v>
      </c>
      <c r="E1359" t="s">
        <v>89</v>
      </c>
      <c r="F1359" t="s">
        <v>41</v>
      </c>
      <c r="G1359" t="s">
        <v>17</v>
      </c>
      <c r="H1359" t="s">
        <v>176</v>
      </c>
      <c r="I1359" t="s">
        <v>319</v>
      </c>
      <c r="J1359" t="s">
        <v>320</v>
      </c>
      <c r="K1359" s="2">
        <v>2.5</v>
      </c>
      <c r="L1359">
        <v>8</v>
      </c>
      <c r="M1359">
        <f t="shared" si="21"/>
        <v>20</v>
      </c>
    </row>
    <row r="1360" spans="1:13">
      <c r="A1360" t="s">
        <v>317</v>
      </c>
      <c r="B1360" t="s">
        <v>318</v>
      </c>
      <c r="C1360" s="1">
        <v>40025</v>
      </c>
      <c r="D1360" t="s">
        <v>121</v>
      </c>
      <c r="E1360" t="s">
        <v>21</v>
      </c>
      <c r="F1360" t="s">
        <v>41</v>
      </c>
      <c r="G1360" t="s">
        <v>17</v>
      </c>
      <c r="H1360" t="s">
        <v>176</v>
      </c>
      <c r="I1360" t="s">
        <v>319</v>
      </c>
      <c r="J1360" t="s">
        <v>320</v>
      </c>
      <c r="K1360" s="2">
        <v>21.5</v>
      </c>
      <c r="L1360">
        <v>15</v>
      </c>
      <c r="M1360">
        <f t="shared" si="21"/>
        <v>322.5</v>
      </c>
    </row>
    <row r="1361" spans="1:13">
      <c r="A1361" t="s">
        <v>321</v>
      </c>
      <c r="B1361" t="s">
        <v>322</v>
      </c>
      <c r="C1361" s="1">
        <v>39987</v>
      </c>
      <c r="D1361" t="s">
        <v>71</v>
      </c>
      <c r="E1361" t="s">
        <v>103</v>
      </c>
      <c r="F1361" t="s">
        <v>51</v>
      </c>
      <c r="G1361" t="s">
        <v>17</v>
      </c>
      <c r="H1361" t="s">
        <v>128</v>
      </c>
      <c r="J1361" t="s">
        <v>323</v>
      </c>
      <c r="K1361" s="2">
        <v>7.75</v>
      </c>
      <c r="L1361">
        <v>20</v>
      </c>
      <c r="M1361">
        <f t="shared" si="21"/>
        <v>155</v>
      </c>
    </row>
    <row r="1362" spans="1:13">
      <c r="A1362" t="s">
        <v>321</v>
      </c>
      <c r="B1362" t="s">
        <v>322</v>
      </c>
      <c r="C1362" s="1">
        <v>39987</v>
      </c>
      <c r="D1362" t="s">
        <v>49</v>
      </c>
      <c r="E1362" t="s">
        <v>103</v>
      </c>
      <c r="F1362" t="s">
        <v>51</v>
      </c>
      <c r="G1362" t="s">
        <v>17</v>
      </c>
      <c r="H1362" t="s">
        <v>128</v>
      </c>
      <c r="J1362" t="s">
        <v>323</v>
      </c>
      <c r="K1362" s="2">
        <v>13</v>
      </c>
      <c r="L1362">
        <v>18</v>
      </c>
      <c r="M1362">
        <f t="shared" si="21"/>
        <v>234</v>
      </c>
    </row>
    <row r="1363" spans="1:13">
      <c r="A1363" t="s">
        <v>321</v>
      </c>
      <c r="B1363" t="s">
        <v>322</v>
      </c>
      <c r="C1363" s="1">
        <v>39455</v>
      </c>
      <c r="D1363" t="s">
        <v>38</v>
      </c>
      <c r="E1363" t="s">
        <v>89</v>
      </c>
      <c r="F1363" t="s">
        <v>29</v>
      </c>
      <c r="G1363" t="s">
        <v>39</v>
      </c>
      <c r="H1363" t="s">
        <v>128</v>
      </c>
      <c r="J1363" t="s">
        <v>323</v>
      </c>
      <c r="K1363" s="2">
        <v>49.3</v>
      </c>
      <c r="L1363">
        <v>3</v>
      </c>
      <c r="M1363">
        <f t="shared" si="21"/>
        <v>147.89999999999998</v>
      </c>
    </row>
    <row r="1364" spans="1:13">
      <c r="A1364" t="s">
        <v>321</v>
      </c>
      <c r="B1364" t="s">
        <v>322</v>
      </c>
      <c r="C1364" s="1">
        <v>39455</v>
      </c>
      <c r="D1364" t="s">
        <v>116</v>
      </c>
      <c r="E1364" t="s">
        <v>89</v>
      </c>
      <c r="F1364" t="s">
        <v>22</v>
      </c>
      <c r="G1364" t="s">
        <v>39</v>
      </c>
      <c r="H1364" t="s">
        <v>128</v>
      </c>
      <c r="J1364" t="s">
        <v>323</v>
      </c>
      <c r="K1364" s="2">
        <v>15</v>
      </c>
      <c r="L1364">
        <v>6</v>
      </c>
      <c r="M1364">
        <f t="shared" si="21"/>
        <v>90</v>
      </c>
    </row>
    <row r="1365" spans="1:13">
      <c r="A1365" t="s">
        <v>321</v>
      </c>
      <c r="B1365" t="s">
        <v>322</v>
      </c>
      <c r="C1365" s="1">
        <v>39983</v>
      </c>
      <c r="D1365" t="s">
        <v>147</v>
      </c>
      <c r="E1365" t="s">
        <v>24</v>
      </c>
      <c r="F1365" t="s">
        <v>51</v>
      </c>
      <c r="G1365" t="s">
        <v>17</v>
      </c>
      <c r="H1365" t="s">
        <v>128</v>
      </c>
      <c r="J1365" t="s">
        <v>323</v>
      </c>
      <c r="K1365" s="2">
        <v>33.25</v>
      </c>
      <c r="L1365">
        <v>6</v>
      </c>
      <c r="M1365">
        <f t="shared" si="21"/>
        <v>199.5</v>
      </c>
    </row>
    <row r="1366" spans="1:13">
      <c r="A1366" t="s">
        <v>321</v>
      </c>
      <c r="B1366" t="s">
        <v>322</v>
      </c>
      <c r="C1366" s="1">
        <v>39987</v>
      </c>
      <c r="D1366" t="s">
        <v>109</v>
      </c>
      <c r="E1366" t="s">
        <v>103</v>
      </c>
      <c r="F1366" t="s">
        <v>56</v>
      </c>
      <c r="G1366" t="s">
        <v>17</v>
      </c>
      <c r="H1366" t="s">
        <v>128</v>
      </c>
      <c r="J1366" t="s">
        <v>323</v>
      </c>
      <c r="K1366" s="2">
        <v>18</v>
      </c>
      <c r="L1366">
        <v>10</v>
      </c>
      <c r="M1366">
        <f t="shared" si="21"/>
        <v>180</v>
      </c>
    </row>
    <row r="1367" spans="1:13">
      <c r="A1367" t="s">
        <v>321</v>
      </c>
      <c r="B1367" t="s">
        <v>322</v>
      </c>
      <c r="C1367" s="1">
        <v>39983</v>
      </c>
      <c r="D1367" t="s">
        <v>38</v>
      </c>
      <c r="E1367" t="s">
        <v>24</v>
      </c>
      <c r="F1367" t="s">
        <v>29</v>
      </c>
      <c r="G1367" t="s">
        <v>17</v>
      </c>
      <c r="H1367" t="s">
        <v>128</v>
      </c>
      <c r="J1367" t="s">
        <v>323</v>
      </c>
      <c r="K1367" s="2">
        <v>49.3</v>
      </c>
      <c r="L1367">
        <v>10</v>
      </c>
      <c r="M1367">
        <f t="shared" si="21"/>
        <v>493</v>
      </c>
    </row>
    <row r="1368" spans="1:13">
      <c r="A1368" t="s">
        <v>321</v>
      </c>
      <c r="B1368" t="s">
        <v>322</v>
      </c>
      <c r="C1368" s="1">
        <v>39983</v>
      </c>
      <c r="D1368" t="s">
        <v>185</v>
      </c>
      <c r="E1368" t="s">
        <v>24</v>
      </c>
      <c r="F1368" t="s">
        <v>134</v>
      </c>
      <c r="G1368" t="s">
        <v>17</v>
      </c>
      <c r="H1368" t="s">
        <v>128</v>
      </c>
      <c r="J1368" t="s">
        <v>323</v>
      </c>
      <c r="K1368" s="2">
        <v>18.399999999999999</v>
      </c>
      <c r="L1368">
        <v>2</v>
      </c>
      <c r="M1368">
        <f t="shared" si="21"/>
        <v>36.799999999999997</v>
      </c>
    </row>
    <row r="1369" spans="1:13">
      <c r="A1369" t="s">
        <v>321</v>
      </c>
      <c r="B1369" t="s">
        <v>322</v>
      </c>
      <c r="C1369" s="1">
        <v>39983</v>
      </c>
      <c r="D1369" t="s">
        <v>40</v>
      </c>
      <c r="E1369" t="s">
        <v>24</v>
      </c>
      <c r="F1369" t="s">
        <v>41</v>
      </c>
      <c r="G1369" t="s">
        <v>17</v>
      </c>
      <c r="H1369" t="s">
        <v>128</v>
      </c>
      <c r="J1369" t="s">
        <v>323</v>
      </c>
      <c r="K1369" s="2">
        <v>2.5</v>
      </c>
      <c r="L1369">
        <v>14</v>
      </c>
      <c r="M1369">
        <f t="shared" si="21"/>
        <v>35</v>
      </c>
    </row>
    <row r="1370" spans="1:13">
      <c r="A1370" t="s">
        <v>324</v>
      </c>
      <c r="B1370" t="s">
        <v>325</v>
      </c>
      <c r="C1370" s="1">
        <v>39488</v>
      </c>
      <c r="D1370" t="s">
        <v>65</v>
      </c>
      <c r="E1370" t="s">
        <v>24</v>
      </c>
      <c r="F1370" t="s">
        <v>58</v>
      </c>
      <c r="G1370" t="s">
        <v>39</v>
      </c>
      <c r="H1370" t="s">
        <v>257</v>
      </c>
      <c r="J1370" t="s">
        <v>258</v>
      </c>
      <c r="K1370" s="2">
        <v>15</v>
      </c>
      <c r="L1370">
        <v>10</v>
      </c>
      <c r="M1370">
        <f t="shared" si="21"/>
        <v>150</v>
      </c>
    </row>
    <row r="1371" spans="1:13">
      <c r="A1371" t="s">
        <v>324</v>
      </c>
      <c r="B1371" t="s">
        <v>325</v>
      </c>
      <c r="C1371" s="1">
        <v>39454</v>
      </c>
      <c r="D1371" t="s">
        <v>71</v>
      </c>
      <c r="E1371" t="s">
        <v>53</v>
      </c>
      <c r="F1371" t="s">
        <v>51</v>
      </c>
      <c r="G1371" t="s">
        <v>39</v>
      </c>
      <c r="H1371" t="s">
        <v>257</v>
      </c>
      <c r="J1371" t="s">
        <v>258</v>
      </c>
      <c r="K1371" s="2">
        <v>7.75</v>
      </c>
      <c r="L1371">
        <v>20</v>
      </c>
      <c r="M1371">
        <f t="shared" si="21"/>
        <v>155</v>
      </c>
    </row>
    <row r="1372" spans="1:13">
      <c r="A1372" t="s">
        <v>324</v>
      </c>
      <c r="B1372" t="s">
        <v>325</v>
      </c>
      <c r="C1372" s="1">
        <v>39454</v>
      </c>
      <c r="D1372" t="s">
        <v>94</v>
      </c>
      <c r="E1372" t="s">
        <v>53</v>
      </c>
      <c r="F1372" t="s">
        <v>74</v>
      </c>
      <c r="G1372" t="s">
        <v>39</v>
      </c>
      <c r="H1372" t="s">
        <v>257</v>
      </c>
      <c r="J1372" t="s">
        <v>258</v>
      </c>
      <c r="K1372" s="2">
        <v>46</v>
      </c>
      <c r="L1372">
        <v>7</v>
      </c>
      <c r="M1372">
        <f t="shared" si="21"/>
        <v>322</v>
      </c>
    </row>
    <row r="1373" spans="1:13">
      <c r="A1373" t="s">
        <v>324</v>
      </c>
      <c r="B1373" t="s">
        <v>325</v>
      </c>
      <c r="C1373" s="1">
        <v>39932</v>
      </c>
      <c r="D1373" t="s">
        <v>44</v>
      </c>
      <c r="E1373" t="s">
        <v>67</v>
      </c>
      <c r="F1373" t="s">
        <v>45</v>
      </c>
      <c r="G1373" t="s">
        <v>17</v>
      </c>
      <c r="H1373" t="s">
        <v>257</v>
      </c>
      <c r="J1373" t="s">
        <v>258</v>
      </c>
      <c r="K1373" s="2">
        <v>18</v>
      </c>
      <c r="L1373">
        <v>3</v>
      </c>
      <c r="M1373">
        <f t="shared" si="21"/>
        <v>54</v>
      </c>
    </row>
    <row r="1374" spans="1:13">
      <c r="A1374" t="s">
        <v>324</v>
      </c>
      <c r="B1374" t="s">
        <v>325</v>
      </c>
      <c r="C1374" s="1">
        <v>39566</v>
      </c>
      <c r="D1374" t="s">
        <v>40</v>
      </c>
      <c r="E1374" t="s">
        <v>67</v>
      </c>
      <c r="F1374" t="s">
        <v>41</v>
      </c>
      <c r="G1374" t="s">
        <v>39</v>
      </c>
      <c r="H1374" t="s">
        <v>257</v>
      </c>
      <c r="J1374" t="s">
        <v>258</v>
      </c>
      <c r="K1374" s="2">
        <v>2.5</v>
      </c>
      <c r="L1374">
        <v>10</v>
      </c>
      <c r="M1374">
        <f t="shared" si="21"/>
        <v>25</v>
      </c>
    </row>
    <row r="1375" spans="1:13">
      <c r="A1375" t="s">
        <v>324</v>
      </c>
      <c r="B1375" t="s">
        <v>325</v>
      </c>
      <c r="C1375" s="1">
        <v>39517</v>
      </c>
      <c r="D1375" t="s">
        <v>77</v>
      </c>
      <c r="E1375" t="s">
        <v>50</v>
      </c>
      <c r="F1375" t="s">
        <v>51</v>
      </c>
      <c r="G1375" t="s">
        <v>39</v>
      </c>
      <c r="H1375" t="s">
        <v>257</v>
      </c>
      <c r="J1375" t="s">
        <v>258</v>
      </c>
      <c r="K1375" s="2">
        <v>45.6</v>
      </c>
      <c r="L1375">
        <v>8</v>
      </c>
      <c r="M1375">
        <f t="shared" si="21"/>
        <v>364.8</v>
      </c>
    </row>
    <row r="1376" spans="1:13">
      <c r="A1376" t="s">
        <v>324</v>
      </c>
      <c r="B1376" t="s">
        <v>325</v>
      </c>
      <c r="C1376" s="1">
        <v>40073</v>
      </c>
      <c r="D1376" t="s">
        <v>137</v>
      </c>
      <c r="E1376" t="s">
        <v>103</v>
      </c>
      <c r="F1376" t="s">
        <v>76</v>
      </c>
      <c r="G1376" t="s">
        <v>39</v>
      </c>
      <c r="H1376" t="s">
        <v>257</v>
      </c>
      <c r="J1376" t="s">
        <v>258</v>
      </c>
      <c r="K1376" s="2">
        <v>12.5</v>
      </c>
      <c r="L1376">
        <v>1</v>
      </c>
      <c r="M1376">
        <f t="shared" si="21"/>
        <v>12.5</v>
      </c>
    </row>
    <row r="1377" spans="1:13">
      <c r="A1377" t="s">
        <v>324</v>
      </c>
      <c r="B1377" t="s">
        <v>325</v>
      </c>
      <c r="C1377" s="1">
        <v>39932</v>
      </c>
      <c r="D1377" t="s">
        <v>82</v>
      </c>
      <c r="E1377" t="s">
        <v>67</v>
      </c>
      <c r="F1377" t="s">
        <v>35</v>
      </c>
      <c r="G1377" t="s">
        <v>17</v>
      </c>
      <c r="H1377" t="s">
        <v>257</v>
      </c>
      <c r="J1377" t="s">
        <v>258</v>
      </c>
      <c r="K1377" s="2">
        <v>12.5</v>
      </c>
      <c r="L1377">
        <v>6</v>
      </c>
      <c r="M1377">
        <f t="shared" si="21"/>
        <v>75</v>
      </c>
    </row>
    <row r="1378" spans="1:13">
      <c r="A1378" t="s">
        <v>324</v>
      </c>
      <c r="B1378" t="s">
        <v>325</v>
      </c>
      <c r="C1378" s="1">
        <v>39566</v>
      </c>
      <c r="D1378" t="s">
        <v>171</v>
      </c>
      <c r="E1378" t="s">
        <v>67</v>
      </c>
      <c r="F1378" t="s">
        <v>45</v>
      </c>
      <c r="G1378" t="s">
        <v>39</v>
      </c>
      <c r="H1378" t="s">
        <v>257</v>
      </c>
      <c r="J1378" t="s">
        <v>258</v>
      </c>
      <c r="K1378" s="2">
        <v>14</v>
      </c>
      <c r="L1378">
        <v>20</v>
      </c>
      <c r="M1378">
        <f t="shared" si="21"/>
        <v>280</v>
      </c>
    </row>
    <row r="1379" spans="1:13">
      <c r="A1379" t="s">
        <v>324</v>
      </c>
      <c r="B1379" t="s">
        <v>325</v>
      </c>
      <c r="C1379" s="1">
        <v>39517</v>
      </c>
      <c r="D1379" t="s">
        <v>59</v>
      </c>
      <c r="E1379" t="s">
        <v>50</v>
      </c>
      <c r="F1379" t="s">
        <v>45</v>
      </c>
      <c r="G1379" t="s">
        <v>39</v>
      </c>
      <c r="H1379" t="s">
        <v>257</v>
      </c>
      <c r="J1379" t="s">
        <v>258</v>
      </c>
      <c r="K1379" s="2">
        <v>14</v>
      </c>
      <c r="L1379">
        <v>20</v>
      </c>
      <c r="M1379">
        <f t="shared" si="21"/>
        <v>280</v>
      </c>
    </row>
    <row r="1380" spans="1:13">
      <c r="A1380" t="s">
        <v>324</v>
      </c>
      <c r="B1380" t="s">
        <v>325</v>
      </c>
      <c r="C1380" s="1">
        <v>39932</v>
      </c>
      <c r="D1380" t="s">
        <v>133</v>
      </c>
      <c r="E1380" t="s">
        <v>67</v>
      </c>
      <c r="F1380" t="s">
        <v>134</v>
      </c>
      <c r="G1380" t="s">
        <v>17</v>
      </c>
      <c r="H1380" t="s">
        <v>257</v>
      </c>
      <c r="J1380" t="s">
        <v>258</v>
      </c>
      <c r="K1380" s="2">
        <v>9.65</v>
      </c>
      <c r="L1380">
        <v>10</v>
      </c>
      <c r="M1380">
        <f t="shared" si="21"/>
        <v>96.5</v>
      </c>
    </row>
    <row r="1381" spans="1:13">
      <c r="A1381" t="s">
        <v>326</v>
      </c>
      <c r="B1381" t="s">
        <v>327</v>
      </c>
      <c r="C1381" s="1">
        <v>39890</v>
      </c>
      <c r="D1381" t="s">
        <v>102</v>
      </c>
      <c r="E1381" t="s">
        <v>53</v>
      </c>
      <c r="F1381" t="s">
        <v>47</v>
      </c>
      <c r="G1381" t="s">
        <v>17</v>
      </c>
      <c r="H1381" t="s">
        <v>199</v>
      </c>
      <c r="J1381" t="s">
        <v>328</v>
      </c>
      <c r="K1381" s="2">
        <v>24.8</v>
      </c>
      <c r="L1381">
        <v>20</v>
      </c>
      <c r="M1381">
        <f t="shared" si="21"/>
        <v>496</v>
      </c>
    </row>
    <row r="1382" spans="1:13">
      <c r="A1382" t="s">
        <v>326</v>
      </c>
      <c r="B1382" t="s">
        <v>327</v>
      </c>
      <c r="C1382" s="1">
        <v>39470</v>
      </c>
      <c r="D1382" t="s">
        <v>122</v>
      </c>
      <c r="E1382" t="s">
        <v>21</v>
      </c>
      <c r="F1382" t="s">
        <v>31</v>
      </c>
      <c r="G1382" t="s">
        <v>39</v>
      </c>
      <c r="H1382" t="s">
        <v>199</v>
      </c>
      <c r="J1382" t="s">
        <v>328</v>
      </c>
      <c r="K1382" s="2">
        <v>14</v>
      </c>
      <c r="L1382">
        <v>20</v>
      </c>
      <c r="M1382">
        <f t="shared" si="21"/>
        <v>280</v>
      </c>
    </row>
    <row r="1383" spans="1:13">
      <c r="A1383" t="s">
        <v>326</v>
      </c>
      <c r="B1383" t="s">
        <v>327</v>
      </c>
      <c r="C1383" s="1">
        <v>39956</v>
      </c>
      <c r="D1383" t="s">
        <v>87</v>
      </c>
      <c r="E1383" t="s">
        <v>21</v>
      </c>
      <c r="F1383" t="s">
        <v>25</v>
      </c>
      <c r="G1383" t="s">
        <v>17</v>
      </c>
      <c r="H1383" t="s">
        <v>199</v>
      </c>
      <c r="J1383" t="s">
        <v>328</v>
      </c>
      <c r="K1383" s="2">
        <v>30</v>
      </c>
      <c r="L1383">
        <v>10</v>
      </c>
      <c r="M1383">
        <f t="shared" si="21"/>
        <v>300</v>
      </c>
    </row>
    <row r="1384" spans="1:13">
      <c r="A1384" t="s">
        <v>326</v>
      </c>
      <c r="B1384" t="s">
        <v>327</v>
      </c>
      <c r="C1384" s="1">
        <v>40081</v>
      </c>
      <c r="D1384" t="s">
        <v>179</v>
      </c>
      <c r="E1384" t="s">
        <v>15</v>
      </c>
      <c r="F1384" t="s">
        <v>47</v>
      </c>
      <c r="G1384" t="s">
        <v>39</v>
      </c>
      <c r="H1384" t="s">
        <v>199</v>
      </c>
      <c r="J1384" t="s">
        <v>328</v>
      </c>
      <c r="K1384" s="2">
        <v>10</v>
      </c>
      <c r="L1384">
        <v>15</v>
      </c>
      <c r="M1384">
        <f t="shared" si="21"/>
        <v>150</v>
      </c>
    </row>
    <row r="1385" spans="1:13">
      <c r="A1385" t="s">
        <v>326</v>
      </c>
      <c r="B1385" t="s">
        <v>327</v>
      </c>
      <c r="C1385" s="1">
        <v>40081</v>
      </c>
      <c r="D1385" t="s">
        <v>95</v>
      </c>
      <c r="E1385" t="s">
        <v>15</v>
      </c>
      <c r="F1385" t="s">
        <v>27</v>
      </c>
      <c r="G1385" t="s">
        <v>39</v>
      </c>
      <c r="H1385" t="s">
        <v>199</v>
      </c>
      <c r="J1385" t="s">
        <v>328</v>
      </c>
      <c r="K1385" s="2">
        <v>21.05</v>
      </c>
      <c r="L1385">
        <v>2</v>
      </c>
      <c r="M1385">
        <f t="shared" si="21"/>
        <v>42.1</v>
      </c>
    </row>
    <row r="1386" spans="1:13">
      <c r="A1386" t="s">
        <v>326</v>
      </c>
      <c r="B1386" t="s">
        <v>327</v>
      </c>
      <c r="C1386" s="1">
        <v>40081</v>
      </c>
      <c r="D1386" t="s">
        <v>36</v>
      </c>
      <c r="E1386" t="s">
        <v>15</v>
      </c>
      <c r="F1386" t="s">
        <v>37</v>
      </c>
      <c r="G1386" t="s">
        <v>39</v>
      </c>
      <c r="H1386" t="s">
        <v>199</v>
      </c>
      <c r="J1386" t="s">
        <v>328</v>
      </c>
      <c r="K1386" s="2">
        <v>19</v>
      </c>
      <c r="L1386">
        <v>20</v>
      </c>
      <c r="M1386">
        <f t="shared" si="21"/>
        <v>380</v>
      </c>
    </row>
    <row r="1387" spans="1:13">
      <c r="A1387" t="s">
        <v>326</v>
      </c>
      <c r="B1387" t="s">
        <v>327</v>
      </c>
      <c r="C1387" s="1">
        <v>39956</v>
      </c>
      <c r="D1387" t="s">
        <v>38</v>
      </c>
      <c r="E1387" t="s">
        <v>21</v>
      </c>
      <c r="F1387" t="s">
        <v>29</v>
      </c>
      <c r="G1387" t="s">
        <v>17</v>
      </c>
      <c r="H1387" t="s">
        <v>199</v>
      </c>
      <c r="J1387" t="s">
        <v>328</v>
      </c>
      <c r="K1387" s="2">
        <v>49.3</v>
      </c>
      <c r="L1387">
        <v>40</v>
      </c>
      <c r="M1387">
        <f t="shared" si="21"/>
        <v>1972</v>
      </c>
    </row>
    <row r="1388" spans="1:13">
      <c r="A1388" t="s">
        <v>326</v>
      </c>
      <c r="B1388" t="s">
        <v>327</v>
      </c>
      <c r="C1388" s="1">
        <v>39452</v>
      </c>
      <c r="D1388" t="s">
        <v>28</v>
      </c>
      <c r="E1388" t="s">
        <v>15</v>
      </c>
      <c r="F1388" t="s">
        <v>29</v>
      </c>
      <c r="G1388" t="s">
        <v>39</v>
      </c>
      <c r="H1388" t="s">
        <v>199</v>
      </c>
      <c r="J1388" t="s">
        <v>328</v>
      </c>
      <c r="K1388" s="2">
        <v>28.5</v>
      </c>
      <c r="L1388">
        <v>30</v>
      </c>
      <c r="M1388">
        <f t="shared" si="21"/>
        <v>855</v>
      </c>
    </row>
    <row r="1389" spans="1:13">
      <c r="A1389" t="s">
        <v>326</v>
      </c>
      <c r="B1389" t="s">
        <v>327</v>
      </c>
      <c r="C1389" s="1">
        <v>39956</v>
      </c>
      <c r="D1389" t="s">
        <v>44</v>
      </c>
      <c r="E1389" t="s">
        <v>21</v>
      </c>
      <c r="F1389" t="s">
        <v>45</v>
      </c>
      <c r="G1389" t="s">
        <v>17</v>
      </c>
      <c r="H1389" t="s">
        <v>199</v>
      </c>
      <c r="J1389" t="s">
        <v>328</v>
      </c>
      <c r="K1389" s="2">
        <v>18</v>
      </c>
      <c r="L1389">
        <v>30</v>
      </c>
      <c r="M1389">
        <f t="shared" si="21"/>
        <v>540</v>
      </c>
    </row>
    <row r="1390" spans="1:13">
      <c r="A1390" t="s">
        <v>326</v>
      </c>
      <c r="B1390" t="s">
        <v>327</v>
      </c>
      <c r="C1390" s="1">
        <v>39863</v>
      </c>
      <c r="D1390" t="s">
        <v>102</v>
      </c>
      <c r="E1390" t="s">
        <v>67</v>
      </c>
      <c r="F1390" t="s">
        <v>47</v>
      </c>
      <c r="G1390" t="s">
        <v>17</v>
      </c>
      <c r="H1390" t="s">
        <v>199</v>
      </c>
      <c r="J1390" t="s">
        <v>328</v>
      </c>
      <c r="K1390" s="2">
        <v>24.8</v>
      </c>
      <c r="L1390">
        <v>20</v>
      </c>
      <c r="M1390">
        <f t="shared" si="21"/>
        <v>496</v>
      </c>
    </row>
    <row r="1391" spans="1:13">
      <c r="A1391" t="s">
        <v>326</v>
      </c>
      <c r="B1391" t="s">
        <v>327</v>
      </c>
      <c r="C1391" s="1">
        <v>39742</v>
      </c>
      <c r="D1391" t="s">
        <v>82</v>
      </c>
      <c r="E1391" t="s">
        <v>67</v>
      </c>
      <c r="F1391" t="s">
        <v>35</v>
      </c>
      <c r="G1391" t="s">
        <v>17</v>
      </c>
      <c r="H1391" t="s">
        <v>199</v>
      </c>
      <c r="J1391" t="s">
        <v>328</v>
      </c>
      <c r="K1391" s="2">
        <v>10</v>
      </c>
      <c r="L1391">
        <v>10</v>
      </c>
      <c r="M1391">
        <f t="shared" si="21"/>
        <v>100</v>
      </c>
    </row>
    <row r="1392" spans="1:13">
      <c r="A1392" t="s">
        <v>326</v>
      </c>
      <c r="B1392" t="s">
        <v>327</v>
      </c>
      <c r="C1392" s="1">
        <v>39742</v>
      </c>
      <c r="D1392" t="s">
        <v>120</v>
      </c>
      <c r="E1392" t="s">
        <v>67</v>
      </c>
      <c r="F1392" t="s">
        <v>33</v>
      </c>
      <c r="G1392" t="s">
        <v>17</v>
      </c>
      <c r="H1392" t="s">
        <v>199</v>
      </c>
      <c r="J1392" t="s">
        <v>328</v>
      </c>
      <c r="K1392" s="2">
        <v>5.6</v>
      </c>
      <c r="L1392">
        <v>8</v>
      </c>
      <c r="M1392">
        <f t="shared" si="21"/>
        <v>44.8</v>
      </c>
    </row>
    <row r="1393" spans="1:13">
      <c r="A1393" t="s">
        <v>326</v>
      </c>
      <c r="B1393" t="s">
        <v>327</v>
      </c>
      <c r="C1393" s="1">
        <v>39452</v>
      </c>
      <c r="D1393" t="s">
        <v>94</v>
      </c>
      <c r="E1393" t="s">
        <v>15</v>
      </c>
      <c r="F1393" t="s">
        <v>74</v>
      </c>
      <c r="G1393" t="s">
        <v>39</v>
      </c>
      <c r="H1393" t="s">
        <v>199</v>
      </c>
      <c r="J1393" t="s">
        <v>328</v>
      </c>
      <c r="K1393" s="2">
        <v>46</v>
      </c>
      <c r="L1393">
        <v>20</v>
      </c>
      <c r="M1393">
        <f t="shared" si="21"/>
        <v>920</v>
      </c>
    </row>
    <row r="1394" spans="1:13">
      <c r="A1394" t="s">
        <v>326</v>
      </c>
      <c r="B1394" t="s">
        <v>327</v>
      </c>
      <c r="C1394" s="1">
        <v>39470</v>
      </c>
      <c r="D1394" t="s">
        <v>40</v>
      </c>
      <c r="E1394" t="s">
        <v>21</v>
      </c>
      <c r="F1394" t="s">
        <v>41</v>
      </c>
      <c r="G1394" t="s">
        <v>39</v>
      </c>
      <c r="H1394" t="s">
        <v>199</v>
      </c>
      <c r="J1394" t="s">
        <v>328</v>
      </c>
      <c r="K1394" s="2">
        <v>2.5</v>
      </c>
      <c r="L1394">
        <v>4</v>
      </c>
      <c r="M1394">
        <f t="shared" si="21"/>
        <v>10</v>
      </c>
    </row>
    <row r="1395" spans="1:13">
      <c r="A1395" t="s">
        <v>326</v>
      </c>
      <c r="B1395" t="s">
        <v>327</v>
      </c>
      <c r="C1395" s="1">
        <v>39637</v>
      </c>
      <c r="D1395" t="s">
        <v>117</v>
      </c>
      <c r="E1395" t="s">
        <v>15</v>
      </c>
      <c r="F1395" t="s">
        <v>118</v>
      </c>
      <c r="G1395" t="s">
        <v>17</v>
      </c>
      <c r="H1395" t="s">
        <v>199</v>
      </c>
      <c r="J1395" t="s">
        <v>328</v>
      </c>
      <c r="K1395" s="2">
        <v>16.8</v>
      </c>
      <c r="L1395">
        <v>6</v>
      </c>
      <c r="M1395">
        <f t="shared" si="21"/>
        <v>100.80000000000001</v>
      </c>
    </row>
    <row r="1396" spans="1:13">
      <c r="A1396" t="s">
        <v>326</v>
      </c>
      <c r="B1396" t="s">
        <v>327</v>
      </c>
      <c r="C1396" s="1">
        <v>39637</v>
      </c>
      <c r="D1396" t="s">
        <v>123</v>
      </c>
      <c r="E1396" t="s">
        <v>15</v>
      </c>
      <c r="F1396" t="s">
        <v>63</v>
      </c>
      <c r="G1396" t="s">
        <v>17</v>
      </c>
      <c r="H1396" t="s">
        <v>199</v>
      </c>
      <c r="J1396" t="s">
        <v>328</v>
      </c>
      <c r="K1396" s="2">
        <v>15.6</v>
      </c>
      <c r="L1396">
        <v>15</v>
      </c>
      <c r="M1396">
        <f t="shared" si="21"/>
        <v>234</v>
      </c>
    </row>
    <row r="1397" spans="1:13">
      <c r="A1397" t="s">
        <v>326</v>
      </c>
      <c r="B1397" t="s">
        <v>327</v>
      </c>
      <c r="C1397" s="1">
        <v>39637</v>
      </c>
      <c r="D1397" t="s">
        <v>95</v>
      </c>
      <c r="E1397" t="s">
        <v>15</v>
      </c>
      <c r="F1397" t="s">
        <v>27</v>
      </c>
      <c r="G1397" t="s">
        <v>17</v>
      </c>
      <c r="H1397" t="s">
        <v>199</v>
      </c>
      <c r="J1397" t="s">
        <v>328</v>
      </c>
      <c r="K1397" s="2">
        <v>16.8</v>
      </c>
      <c r="L1397">
        <v>20</v>
      </c>
      <c r="M1397">
        <f t="shared" si="21"/>
        <v>336</v>
      </c>
    </row>
    <row r="1398" spans="1:13">
      <c r="A1398" t="s">
        <v>326</v>
      </c>
      <c r="B1398" t="s">
        <v>327</v>
      </c>
      <c r="C1398" s="1">
        <v>39470</v>
      </c>
      <c r="D1398" t="s">
        <v>116</v>
      </c>
      <c r="E1398" t="s">
        <v>21</v>
      </c>
      <c r="F1398" t="s">
        <v>22</v>
      </c>
      <c r="G1398" t="s">
        <v>39</v>
      </c>
      <c r="H1398" t="s">
        <v>199</v>
      </c>
      <c r="J1398" t="s">
        <v>328</v>
      </c>
      <c r="K1398" s="2">
        <v>15</v>
      </c>
      <c r="L1398">
        <v>30</v>
      </c>
      <c r="M1398">
        <f t="shared" si="21"/>
        <v>450</v>
      </c>
    </row>
    <row r="1399" spans="1:13">
      <c r="A1399" t="s">
        <v>326</v>
      </c>
      <c r="B1399" t="s">
        <v>327</v>
      </c>
      <c r="C1399" s="1">
        <v>39871</v>
      </c>
      <c r="D1399" t="s">
        <v>75</v>
      </c>
      <c r="E1399" t="s">
        <v>24</v>
      </c>
      <c r="F1399" t="s">
        <v>76</v>
      </c>
      <c r="G1399" t="s">
        <v>17</v>
      </c>
      <c r="H1399" t="s">
        <v>199</v>
      </c>
      <c r="J1399" t="s">
        <v>328</v>
      </c>
      <c r="K1399" s="2">
        <v>27.8</v>
      </c>
      <c r="L1399">
        <v>40</v>
      </c>
      <c r="M1399">
        <f t="shared" si="21"/>
        <v>1112</v>
      </c>
    </row>
    <row r="1400" spans="1:13">
      <c r="A1400" t="s">
        <v>326</v>
      </c>
      <c r="B1400" t="s">
        <v>327</v>
      </c>
      <c r="C1400" s="1">
        <v>39468</v>
      </c>
      <c r="D1400" t="s">
        <v>85</v>
      </c>
      <c r="E1400" t="s">
        <v>24</v>
      </c>
      <c r="F1400" t="s">
        <v>33</v>
      </c>
      <c r="G1400" t="s">
        <v>39</v>
      </c>
      <c r="H1400" t="s">
        <v>199</v>
      </c>
      <c r="J1400" t="s">
        <v>328</v>
      </c>
      <c r="K1400" s="2">
        <v>53</v>
      </c>
      <c r="L1400">
        <v>4</v>
      </c>
      <c r="M1400">
        <f t="shared" si="21"/>
        <v>212</v>
      </c>
    </row>
    <row r="1401" spans="1:13">
      <c r="A1401" t="s">
        <v>326</v>
      </c>
      <c r="B1401" t="s">
        <v>327</v>
      </c>
      <c r="C1401" s="1">
        <v>39871</v>
      </c>
      <c r="D1401" t="s">
        <v>70</v>
      </c>
      <c r="E1401" t="s">
        <v>24</v>
      </c>
      <c r="F1401" t="s">
        <v>61</v>
      </c>
      <c r="G1401" t="s">
        <v>17</v>
      </c>
      <c r="H1401" t="s">
        <v>199</v>
      </c>
      <c r="J1401" t="s">
        <v>328</v>
      </c>
      <c r="K1401" s="2">
        <v>9.6</v>
      </c>
      <c r="L1401">
        <v>20</v>
      </c>
      <c r="M1401">
        <f t="shared" si="21"/>
        <v>192</v>
      </c>
    </row>
    <row r="1402" spans="1:13">
      <c r="A1402" t="s">
        <v>326</v>
      </c>
      <c r="B1402" t="s">
        <v>327</v>
      </c>
      <c r="C1402" s="1">
        <v>39871</v>
      </c>
      <c r="D1402" t="s">
        <v>87</v>
      </c>
      <c r="E1402" t="s">
        <v>24</v>
      </c>
      <c r="F1402" t="s">
        <v>25</v>
      </c>
      <c r="G1402" t="s">
        <v>17</v>
      </c>
      <c r="H1402" t="s">
        <v>199</v>
      </c>
      <c r="J1402" t="s">
        <v>328</v>
      </c>
      <c r="K1402" s="2">
        <v>24</v>
      </c>
      <c r="L1402">
        <v>16</v>
      </c>
      <c r="M1402">
        <f t="shared" si="21"/>
        <v>384</v>
      </c>
    </row>
    <row r="1403" spans="1:13">
      <c r="A1403" t="s">
        <v>326</v>
      </c>
      <c r="B1403" t="s">
        <v>327</v>
      </c>
      <c r="C1403" s="1">
        <v>39863</v>
      </c>
      <c r="D1403" t="s">
        <v>14</v>
      </c>
      <c r="E1403" t="s">
        <v>67</v>
      </c>
      <c r="F1403" t="s">
        <v>16</v>
      </c>
      <c r="G1403" t="s">
        <v>17</v>
      </c>
      <c r="H1403" t="s">
        <v>199</v>
      </c>
      <c r="J1403" t="s">
        <v>328</v>
      </c>
      <c r="K1403" s="2">
        <v>5.9</v>
      </c>
      <c r="L1403">
        <v>6</v>
      </c>
      <c r="M1403">
        <f t="shared" si="21"/>
        <v>35.400000000000006</v>
      </c>
    </row>
    <row r="1404" spans="1:13">
      <c r="A1404" t="s">
        <v>326</v>
      </c>
      <c r="B1404" t="s">
        <v>327</v>
      </c>
      <c r="C1404" s="1">
        <v>39452</v>
      </c>
      <c r="D1404" t="s">
        <v>100</v>
      </c>
      <c r="E1404" t="s">
        <v>15</v>
      </c>
      <c r="F1404" t="s">
        <v>101</v>
      </c>
      <c r="G1404" t="s">
        <v>39</v>
      </c>
      <c r="H1404" t="s">
        <v>199</v>
      </c>
      <c r="J1404" t="s">
        <v>328</v>
      </c>
      <c r="K1404" s="2">
        <v>12.75</v>
      </c>
      <c r="L1404">
        <v>8</v>
      </c>
      <c r="M1404">
        <f t="shared" si="21"/>
        <v>102</v>
      </c>
    </row>
    <row r="1405" spans="1:13">
      <c r="A1405" t="s">
        <v>326</v>
      </c>
      <c r="B1405" t="s">
        <v>327</v>
      </c>
      <c r="C1405" s="1">
        <v>39452</v>
      </c>
      <c r="D1405" t="s">
        <v>133</v>
      </c>
      <c r="E1405" t="s">
        <v>15</v>
      </c>
      <c r="F1405" t="s">
        <v>134</v>
      </c>
      <c r="G1405" t="s">
        <v>39</v>
      </c>
      <c r="H1405" t="s">
        <v>199</v>
      </c>
      <c r="J1405" t="s">
        <v>328</v>
      </c>
      <c r="K1405" s="2">
        <v>9.65</v>
      </c>
      <c r="L1405">
        <v>20</v>
      </c>
      <c r="M1405">
        <f t="shared" si="21"/>
        <v>193</v>
      </c>
    </row>
    <row r="1406" spans="1:13">
      <c r="A1406" t="s">
        <v>329</v>
      </c>
      <c r="B1406" t="s">
        <v>330</v>
      </c>
      <c r="C1406" s="1">
        <v>39858</v>
      </c>
      <c r="D1406" t="s">
        <v>64</v>
      </c>
      <c r="E1406" t="s">
        <v>89</v>
      </c>
      <c r="F1406" t="s">
        <v>35</v>
      </c>
      <c r="G1406" t="s">
        <v>17</v>
      </c>
      <c r="H1406" t="s">
        <v>211</v>
      </c>
      <c r="J1406" t="s">
        <v>212</v>
      </c>
      <c r="K1406" s="2">
        <v>7.3</v>
      </c>
      <c r="L1406">
        <v>12</v>
      </c>
      <c r="M1406">
        <f t="shared" si="21"/>
        <v>87.6</v>
      </c>
    </row>
    <row r="1407" spans="1:13">
      <c r="A1407" t="s">
        <v>329</v>
      </c>
      <c r="B1407" t="s">
        <v>330</v>
      </c>
      <c r="C1407" s="1">
        <v>39858</v>
      </c>
      <c r="D1407" t="s">
        <v>120</v>
      </c>
      <c r="E1407" t="s">
        <v>89</v>
      </c>
      <c r="F1407" t="s">
        <v>33</v>
      </c>
      <c r="G1407" t="s">
        <v>17</v>
      </c>
      <c r="H1407" t="s">
        <v>211</v>
      </c>
      <c r="J1407" t="s">
        <v>212</v>
      </c>
      <c r="K1407" s="2">
        <v>5.6</v>
      </c>
      <c r="L1407">
        <v>15</v>
      </c>
      <c r="M1407">
        <f t="shared" si="21"/>
        <v>84</v>
      </c>
    </row>
    <row r="1408" spans="1:13">
      <c r="A1408" t="s">
        <v>329</v>
      </c>
      <c r="B1408" t="s">
        <v>330</v>
      </c>
      <c r="C1408" s="1">
        <v>39858</v>
      </c>
      <c r="D1408" t="s">
        <v>137</v>
      </c>
      <c r="E1408" t="s">
        <v>89</v>
      </c>
      <c r="F1408" t="s">
        <v>76</v>
      </c>
      <c r="G1408" t="s">
        <v>17</v>
      </c>
      <c r="H1408" t="s">
        <v>211</v>
      </c>
      <c r="J1408" t="s">
        <v>212</v>
      </c>
      <c r="K1408" s="2">
        <v>10</v>
      </c>
      <c r="L1408">
        <v>3</v>
      </c>
      <c r="M1408">
        <f t="shared" si="21"/>
        <v>30</v>
      </c>
    </row>
    <row r="1409" spans="1:13">
      <c r="A1409" t="s">
        <v>329</v>
      </c>
      <c r="B1409" t="s">
        <v>330</v>
      </c>
      <c r="C1409" s="1">
        <v>39530</v>
      </c>
      <c r="D1409" t="s">
        <v>64</v>
      </c>
      <c r="E1409" t="s">
        <v>53</v>
      </c>
      <c r="F1409" t="s">
        <v>35</v>
      </c>
      <c r="G1409" t="s">
        <v>39</v>
      </c>
      <c r="H1409" t="s">
        <v>211</v>
      </c>
      <c r="J1409" t="s">
        <v>212</v>
      </c>
      <c r="K1409" s="2">
        <v>9.1999999999999993</v>
      </c>
      <c r="L1409">
        <v>12</v>
      </c>
      <c r="M1409">
        <f t="shared" si="21"/>
        <v>110.39999999999999</v>
      </c>
    </row>
    <row r="1410" spans="1:13">
      <c r="A1410" t="s">
        <v>329</v>
      </c>
      <c r="B1410" t="s">
        <v>330</v>
      </c>
      <c r="C1410" s="1">
        <v>39959</v>
      </c>
      <c r="D1410" t="s">
        <v>59</v>
      </c>
      <c r="E1410" t="s">
        <v>15</v>
      </c>
      <c r="F1410" t="s">
        <v>45</v>
      </c>
      <c r="G1410" t="s">
        <v>17</v>
      </c>
      <c r="H1410" t="s">
        <v>211</v>
      </c>
      <c r="J1410" t="s">
        <v>212</v>
      </c>
      <c r="K1410" s="2">
        <v>14</v>
      </c>
      <c r="L1410">
        <v>10</v>
      </c>
      <c r="M1410">
        <f t="shared" si="21"/>
        <v>140</v>
      </c>
    </row>
    <row r="1411" spans="1:13">
      <c r="A1411" t="s">
        <v>329</v>
      </c>
      <c r="B1411" t="s">
        <v>330</v>
      </c>
      <c r="C1411" s="1">
        <v>39850</v>
      </c>
      <c r="D1411" t="s">
        <v>64</v>
      </c>
      <c r="E1411" t="s">
        <v>15</v>
      </c>
      <c r="F1411" t="s">
        <v>35</v>
      </c>
      <c r="G1411" t="s">
        <v>17</v>
      </c>
      <c r="H1411" t="s">
        <v>211</v>
      </c>
      <c r="J1411" t="s">
        <v>212</v>
      </c>
      <c r="K1411" s="2">
        <v>7.3</v>
      </c>
      <c r="L1411">
        <v>15</v>
      </c>
      <c r="M1411">
        <f t="shared" ref="M1411:M1474" si="22">K1411*L1411</f>
        <v>109.5</v>
      </c>
    </row>
    <row r="1412" spans="1:13">
      <c r="A1412" t="s">
        <v>329</v>
      </c>
      <c r="B1412" t="s">
        <v>330</v>
      </c>
      <c r="C1412" s="1">
        <v>39850</v>
      </c>
      <c r="D1412" t="s">
        <v>59</v>
      </c>
      <c r="E1412" t="s">
        <v>15</v>
      </c>
      <c r="F1412" t="s">
        <v>45</v>
      </c>
      <c r="G1412" t="s">
        <v>17</v>
      </c>
      <c r="H1412" t="s">
        <v>211</v>
      </c>
      <c r="J1412" t="s">
        <v>212</v>
      </c>
      <c r="K1412" s="2">
        <v>11.2</v>
      </c>
      <c r="L1412">
        <v>20</v>
      </c>
      <c r="M1412">
        <f t="shared" si="22"/>
        <v>224</v>
      </c>
    </row>
    <row r="1413" spans="1:13">
      <c r="A1413" t="s">
        <v>329</v>
      </c>
      <c r="B1413" t="s">
        <v>330</v>
      </c>
      <c r="C1413" s="1">
        <v>39850</v>
      </c>
      <c r="D1413" t="s">
        <v>123</v>
      </c>
      <c r="E1413" t="s">
        <v>15</v>
      </c>
      <c r="F1413" t="s">
        <v>63</v>
      </c>
      <c r="G1413" t="s">
        <v>17</v>
      </c>
      <c r="H1413" t="s">
        <v>211</v>
      </c>
      <c r="J1413" t="s">
        <v>212</v>
      </c>
      <c r="K1413" s="2">
        <v>15.6</v>
      </c>
      <c r="L1413">
        <v>15</v>
      </c>
      <c r="M1413">
        <f t="shared" si="22"/>
        <v>234</v>
      </c>
    </row>
    <row r="1414" spans="1:13">
      <c r="A1414" t="s">
        <v>329</v>
      </c>
      <c r="B1414" t="s">
        <v>330</v>
      </c>
      <c r="C1414" s="1">
        <v>39530</v>
      </c>
      <c r="D1414" t="s">
        <v>119</v>
      </c>
      <c r="E1414" t="s">
        <v>53</v>
      </c>
      <c r="F1414" t="s">
        <v>97</v>
      </c>
      <c r="G1414" t="s">
        <v>39</v>
      </c>
      <c r="H1414" t="s">
        <v>211</v>
      </c>
      <c r="J1414" t="s">
        <v>212</v>
      </c>
      <c r="K1414" s="2">
        <v>20</v>
      </c>
      <c r="L1414">
        <v>40</v>
      </c>
      <c r="M1414">
        <f t="shared" si="22"/>
        <v>800</v>
      </c>
    </row>
    <row r="1415" spans="1:13">
      <c r="A1415" t="s">
        <v>329</v>
      </c>
      <c r="B1415" t="s">
        <v>330</v>
      </c>
      <c r="C1415" s="1">
        <v>39959</v>
      </c>
      <c r="D1415" t="s">
        <v>133</v>
      </c>
      <c r="E1415" t="s">
        <v>15</v>
      </c>
      <c r="F1415" t="s">
        <v>134</v>
      </c>
      <c r="G1415" t="s">
        <v>17</v>
      </c>
      <c r="H1415" t="s">
        <v>211</v>
      </c>
      <c r="J1415" t="s">
        <v>212</v>
      </c>
      <c r="K1415" s="2">
        <v>9.65</v>
      </c>
      <c r="L1415">
        <v>14</v>
      </c>
      <c r="M1415">
        <f t="shared" si="22"/>
        <v>135.1</v>
      </c>
    </row>
    <row r="1416" spans="1:13">
      <c r="A1416" t="s">
        <v>329</v>
      </c>
      <c r="B1416" t="s">
        <v>330</v>
      </c>
      <c r="C1416" s="1">
        <v>39858</v>
      </c>
      <c r="D1416" t="s">
        <v>98</v>
      </c>
      <c r="E1416" t="s">
        <v>89</v>
      </c>
      <c r="F1416" t="s">
        <v>99</v>
      </c>
      <c r="G1416" t="s">
        <v>17</v>
      </c>
      <c r="H1416" t="s">
        <v>211</v>
      </c>
      <c r="J1416" t="s">
        <v>212</v>
      </c>
      <c r="K1416" s="2">
        <v>3.6</v>
      </c>
      <c r="L1416">
        <v>20</v>
      </c>
      <c r="M1416">
        <f t="shared" si="22"/>
        <v>72</v>
      </c>
    </row>
    <row r="1417" spans="1:13">
      <c r="A1417" t="s">
        <v>329</v>
      </c>
      <c r="B1417" t="s">
        <v>330</v>
      </c>
      <c r="C1417" s="1">
        <v>39634</v>
      </c>
      <c r="D1417" t="s">
        <v>85</v>
      </c>
      <c r="E1417" t="s">
        <v>89</v>
      </c>
      <c r="F1417" t="s">
        <v>33</v>
      </c>
      <c r="G1417" t="s">
        <v>17</v>
      </c>
      <c r="H1417" t="s">
        <v>211</v>
      </c>
      <c r="J1417" t="s">
        <v>212</v>
      </c>
      <c r="K1417" s="2">
        <v>42.4</v>
      </c>
      <c r="L1417">
        <v>40</v>
      </c>
      <c r="M1417">
        <f t="shared" si="22"/>
        <v>1696</v>
      </c>
    </row>
    <row r="1418" spans="1:13">
      <c r="A1418" t="s">
        <v>329</v>
      </c>
      <c r="B1418" t="s">
        <v>330</v>
      </c>
      <c r="C1418" s="1">
        <v>39634</v>
      </c>
      <c r="D1418" t="s">
        <v>153</v>
      </c>
      <c r="E1418" t="s">
        <v>89</v>
      </c>
      <c r="F1418" t="s">
        <v>125</v>
      </c>
      <c r="G1418" t="s">
        <v>17</v>
      </c>
      <c r="H1418" t="s">
        <v>211</v>
      </c>
      <c r="J1418" t="s">
        <v>212</v>
      </c>
      <c r="K1418" s="2">
        <v>18.600000000000001</v>
      </c>
      <c r="L1418">
        <v>9</v>
      </c>
      <c r="M1418">
        <f t="shared" si="22"/>
        <v>167.4</v>
      </c>
    </row>
    <row r="1419" spans="1:13">
      <c r="A1419" t="s">
        <v>329</v>
      </c>
      <c r="B1419" t="s">
        <v>330</v>
      </c>
      <c r="C1419" s="1">
        <v>40017</v>
      </c>
      <c r="D1419" t="s">
        <v>62</v>
      </c>
      <c r="E1419" t="s">
        <v>24</v>
      </c>
      <c r="F1419" t="s">
        <v>63</v>
      </c>
      <c r="G1419" t="s">
        <v>17</v>
      </c>
      <c r="H1419" t="s">
        <v>211</v>
      </c>
      <c r="J1419" t="s">
        <v>212</v>
      </c>
      <c r="K1419" s="2">
        <v>38</v>
      </c>
      <c r="L1419">
        <v>28</v>
      </c>
      <c r="M1419">
        <f t="shared" si="22"/>
        <v>1064</v>
      </c>
    </row>
    <row r="1420" spans="1:13">
      <c r="A1420" t="s">
        <v>331</v>
      </c>
      <c r="B1420" t="s">
        <v>332</v>
      </c>
      <c r="C1420" s="1">
        <v>39491</v>
      </c>
      <c r="D1420" t="s">
        <v>122</v>
      </c>
      <c r="E1420" t="s">
        <v>67</v>
      </c>
      <c r="F1420" t="s">
        <v>31</v>
      </c>
      <c r="G1420" t="s">
        <v>39</v>
      </c>
      <c r="H1420" t="s">
        <v>92</v>
      </c>
      <c r="J1420" t="s">
        <v>333</v>
      </c>
      <c r="K1420" s="2">
        <v>14</v>
      </c>
      <c r="L1420">
        <v>5</v>
      </c>
      <c r="M1420">
        <f t="shared" si="22"/>
        <v>70</v>
      </c>
    </row>
    <row r="1421" spans="1:13">
      <c r="A1421" t="s">
        <v>331</v>
      </c>
      <c r="B1421" t="s">
        <v>332</v>
      </c>
      <c r="C1421" s="1">
        <v>39749</v>
      </c>
      <c r="D1421" t="s">
        <v>95</v>
      </c>
      <c r="E1421" t="s">
        <v>67</v>
      </c>
      <c r="F1421" t="s">
        <v>27</v>
      </c>
      <c r="G1421" t="s">
        <v>17</v>
      </c>
      <c r="H1421" t="s">
        <v>92</v>
      </c>
      <c r="J1421" t="s">
        <v>333</v>
      </c>
      <c r="K1421" s="2">
        <v>16.8</v>
      </c>
      <c r="L1421">
        <v>5</v>
      </c>
      <c r="M1421">
        <f t="shared" si="22"/>
        <v>84</v>
      </c>
    </row>
    <row r="1422" spans="1:13">
      <c r="A1422" t="s">
        <v>331</v>
      </c>
      <c r="B1422" t="s">
        <v>332</v>
      </c>
      <c r="C1422" s="1">
        <v>39749</v>
      </c>
      <c r="D1422" t="s">
        <v>49</v>
      </c>
      <c r="E1422" t="s">
        <v>67</v>
      </c>
      <c r="F1422" t="s">
        <v>51</v>
      </c>
      <c r="G1422" t="s">
        <v>17</v>
      </c>
      <c r="H1422" t="s">
        <v>92</v>
      </c>
      <c r="J1422" t="s">
        <v>333</v>
      </c>
      <c r="K1422" s="2">
        <v>10.4</v>
      </c>
      <c r="L1422">
        <v>5</v>
      </c>
      <c r="M1422">
        <f t="shared" si="22"/>
        <v>52</v>
      </c>
    </row>
    <row r="1423" spans="1:13">
      <c r="A1423" t="s">
        <v>331</v>
      </c>
      <c r="B1423" t="s">
        <v>332</v>
      </c>
      <c r="C1423" s="1">
        <v>39512</v>
      </c>
      <c r="D1423" t="s">
        <v>96</v>
      </c>
      <c r="E1423" t="s">
        <v>21</v>
      </c>
      <c r="F1423" t="s">
        <v>97</v>
      </c>
      <c r="G1423" t="s">
        <v>39</v>
      </c>
      <c r="H1423" t="s">
        <v>92</v>
      </c>
      <c r="J1423" t="s">
        <v>333</v>
      </c>
      <c r="K1423" s="2">
        <v>18</v>
      </c>
      <c r="L1423">
        <v>5</v>
      </c>
      <c r="M1423">
        <f t="shared" si="22"/>
        <v>90</v>
      </c>
    </row>
    <row r="1424" spans="1:13">
      <c r="A1424" t="s">
        <v>331</v>
      </c>
      <c r="B1424" t="s">
        <v>332</v>
      </c>
      <c r="C1424" s="1">
        <v>39512</v>
      </c>
      <c r="D1424" t="s">
        <v>170</v>
      </c>
      <c r="E1424" t="s">
        <v>21</v>
      </c>
      <c r="F1424" t="s">
        <v>101</v>
      </c>
      <c r="G1424" t="s">
        <v>39</v>
      </c>
      <c r="H1424" t="s">
        <v>92</v>
      </c>
      <c r="J1424" t="s">
        <v>333</v>
      </c>
      <c r="K1424" s="2">
        <v>9.5</v>
      </c>
      <c r="L1424">
        <v>5</v>
      </c>
      <c r="M1424">
        <f t="shared" si="22"/>
        <v>47.5</v>
      </c>
    </row>
    <row r="1425" spans="1:13">
      <c r="A1425" t="s">
        <v>331</v>
      </c>
      <c r="B1425" t="s">
        <v>332</v>
      </c>
      <c r="C1425" s="1">
        <v>39977</v>
      </c>
      <c r="D1425" t="s">
        <v>102</v>
      </c>
      <c r="E1425" t="s">
        <v>15</v>
      </c>
      <c r="F1425" t="s">
        <v>47</v>
      </c>
      <c r="G1425" t="s">
        <v>17</v>
      </c>
      <c r="H1425" t="s">
        <v>92</v>
      </c>
      <c r="J1425" t="s">
        <v>333</v>
      </c>
      <c r="K1425" s="2">
        <v>31</v>
      </c>
      <c r="L1425">
        <v>5</v>
      </c>
      <c r="M1425">
        <f t="shared" si="22"/>
        <v>155</v>
      </c>
    </row>
    <row r="1426" spans="1:13">
      <c r="A1426" t="s">
        <v>331</v>
      </c>
      <c r="B1426" t="s">
        <v>332</v>
      </c>
      <c r="C1426" s="1">
        <v>39840</v>
      </c>
      <c r="D1426" t="s">
        <v>62</v>
      </c>
      <c r="E1426" t="s">
        <v>24</v>
      </c>
      <c r="F1426" t="s">
        <v>63</v>
      </c>
      <c r="G1426" t="s">
        <v>17</v>
      </c>
      <c r="H1426" t="s">
        <v>92</v>
      </c>
      <c r="J1426" t="s">
        <v>333</v>
      </c>
      <c r="K1426" s="2">
        <v>30.4</v>
      </c>
      <c r="L1426">
        <v>5</v>
      </c>
      <c r="M1426">
        <f t="shared" si="22"/>
        <v>152</v>
      </c>
    </row>
    <row r="1427" spans="1:13">
      <c r="A1427" t="s">
        <v>331</v>
      </c>
      <c r="B1427" t="s">
        <v>332</v>
      </c>
      <c r="C1427" s="1">
        <v>39840</v>
      </c>
      <c r="D1427" t="s">
        <v>147</v>
      </c>
      <c r="E1427" t="s">
        <v>24</v>
      </c>
      <c r="F1427" t="s">
        <v>51</v>
      </c>
      <c r="G1427" t="s">
        <v>17</v>
      </c>
      <c r="H1427" t="s">
        <v>92</v>
      </c>
      <c r="J1427" t="s">
        <v>333</v>
      </c>
      <c r="K1427" s="2">
        <v>26.6</v>
      </c>
      <c r="L1427">
        <v>7</v>
      </c>
      <c r="M1427">
        <f t="shared" si="22"/>
        <v>186.20000000000002</v>
      </c>
    </row>
    <row r="1428" spans="1:13">
      <c r="A1428" t="s">
        <v>334</v>
      </c>
      <c r="B1428" t="s">
        <v>335</v>
      </c>
      <c r="C1428" s="1">
        <v>40114</v>
      </c>
      <c r="D1428" t="s">
        <v>120</v>
      </c>
      <c r="E1428" t="s">
        <v>15</v>
      </c>
      <c r="F1428" t="s">
        <v>33</v>
      </c>
      <c r="G1428" t="s">
        <v>39</v>
      </c>
      <c r="H1428" t="s">
        <v>92</v>
      </c>
      <c r="J1428" t="s">
        <v>336</v>
      </c>
      <c r="K1428" s="2">
        <v>7</v>
      </c>
      <c r="L1428">
        <v>60</v>
      </c>
      <c r="M1428">
        <f t="shared" si="22"/>
        <v>420</v>
      </c>
    </row>
    <row r="1429" spans="1:13">
      <c r="A1429" t="s">
        <v>334</v>
      </c>
      <c r="B1429" t="s">
        <v>335</v>
      </c>
      <c r="C1429" s="1">
        <v>39947</v>
      </c>
      <c r="D1429" t="s">
        <v>68</v>
      </c>
      <c r="E1429" t="s">
        <v>21</v>
      </c>
      <c r="F1429" t="s">
        <v>69</v>
      </c>
      <c r="G1429" t="s">
        <v>17</v>
      </c>
      <c r="H1429" t="s">
        <v>92</v>
      </c>
      <c r="J1429" t="s">
        <v>336</v>
      </c>
      <c r="K1429" s="2">
        <v>13.25</v>
      </c>
      <c r="L1429">
        <v>20</v>
      </c>
      <c r="M1429">
        <f t="shared" si="22"/>
        <v>265</v>
      </c>
    </row>
    <row r="1430" spans="1:13">
      <c r="A1430" t="s">
        <v>334</v>
      </c>
      <c r="B1430" t="s">
        <v>335</v>
      </c>
      <c r="C1430" s="1">
        <v>39947</v>
      </c>
      <c r="D1430" t="s">
        <v>85</v>
      </c>
      <c r="E1430" t="s">
        <v>21</v>
      </c>
      <c r="F1430" t="s">
        <v>33</v>
      </c>
      <c r="G1430" t="s">
        <v>17</v>
      </c>
      <c r="H1430" t="s">
        <v>92</v>
      </c>
      <c r="J1430" t="s">
        <v>336</v>
      </c>
      <c r="K1430" s="2">
        <v>53</v>
      </c>
      <c r="L1430">
        <v>6</v>
      </c>
      <c r="M1430">
        <f t="shared" si="22"/>
        <v>318</v>
      </c>
    </row>
    <row r="1431" spans="1:13">
      <c r="A1431" t="s">
        <v>334</v>
      </c>
      <c r="B1431" t="s">
        <v>335</v>
      </c>
      <c r="C1431" s="1">
        <v>40065</v>
      </c>
      <c r="D1431" t="s">
        <v>88</v>
      </c>
      <c r="E1431" t="s">
        <v>50</v>
      </c>
      <c r="F1431" t="s">
        <v>51</v>
      </c>
      <c r="G1431" t="s">
        <v>17</v>
      </c>
      <c r="H1431" t="s">
        <v>92</v>
      </c>
      <c r="J1431" t="s">
        <v>336</v>
      </c>
      <c r="K1431" s="2">
        <v>123.79</v>
      </c>
      <c r="L1431">
        <v>36</v>
      </c>
      <c r="M1431">
        <f t="shared" si="22"/>
        <v>4456.4400000000005</v>
      </c>
    </row>
    <row r="1432" spans="1:13">
      <c r="A1432" t="s">
        <v>334</v>
      </c>
      <c r="B1432" t="s">
        <v>335</v>
      </c>
      <c r="C1432" s="1">
        <v>39947</v>
      </c>
      <c r="D1432" t="s">
        <v>137</v>
      </c>
      <c r="E1432" t="s">
        <v>21</v>
      </c>
      <c r="F1432" t="s">
        <v>76</v>
      </c>
      <c r="G1432" t="s">
        <v>17</v>
      </c>
      <c r="H1432" t="s">
        <v>92</v>
      </c>
      <c r="J1432" t="s">
        <v>336</v>
      </c>
      <c r="K1432" s="2">
        <v>12.5</v>
      </c>
      <c r="L1432">
        <v>30</v>
      </c>
      <c r="M1432">
        <f t="shared" si="22"/>
        <v>375</v>
      </c>
    </row>
    <row r="1433" spans="1:13">
      <c r="A1433" t="s">
        <v>334</v>
      </c>
      <c r="B1433" t="s">
        <v>335</v>
      </c>
      <c r="C1433" s="1">
        <v>40110</v>
      </c>
      <c r="D1433" t="s">
        <v>83</v>
      </c>
      <c r="E1433" t="s">
        <v>15</v>
      </c>
      <c r="F1433" t="s">
        <v>84</v>
      </c>
      <c r="G1433" t="s">
        <v>39</v>
      </c>
      <c r="H1433" t="s">
        <v>92</v>
      </c>
      <c r="J1433" t="s">
        <v>336</v>
      </c>
      <c r="K1433" s="2">
        <v>25.89</v>
      </c>
      <c r="L1433">
        <v>30</v>
      </c>
      <c r="M1433">
        <f t="shared" si="22"/>
        <v>776.7</v>
      </c>
    </row>
    <row r="1434" spans="1:13">
      <c r="A1434" t="s">
        <v>334</v>
      </c>
      <c r="B1434" t="s">
        <v>335</v>
      </c>
      <c r="C1434" s="1">
        <v>39523</v>
      </c>
      <c r="D1434" t="s">
        <v>40</v>
      </c>
      <c r="E1434" t="s">
        <v>103</v>
      </c>
      <c r="F1434" t="s">
        <v>41</v>
      </c>
      <c r="G1434" t="s">
        <v>39</v>
      </c>
      <c r="H1434" t="s">
        <v>92</v>
      </c>
      <c r="J1434" t="s">
        <v>336</v>
      </c>
      <c r="K1434" s="2">
        <v>2.5</v>
      </c>
      <c r="L1434">
        <v>15</v>
      </c>
      <c r="M1434">
        <f t="shared" si="22"/>
        <v>37.5</v>
      </c>
    </row>
    <row r="1435" spans="1:13">
      <c r="A1435" t="s">
        <v>334</v>
      </c>
      <c r="B1435" t="s">
        <v>335</v>
      </c>
      <c r="C1435" s="1">
        <v>39523</v>
      </c>
      <c r="D1435" t="s">
        <v>133</v>
      </c>
      <c r="E1435" t="s">
        <v>103</v>
      </c>
      <c r="F1435" t="s">
        <v>134</v>
      </c>
      <c r="G1435" t="s">
        <v>39</v>
      </c>
      <c r="H1435" t="s">
        <v>92</v>
      </c>
      <c r="J1435" t="s">
        <v>336</v>
      </c>
      <c r="K1435" s="2">
        <v>9.65</v>
      </c>
      <c r="L1435">
        <v>6</v>
      </c>
      <c r="M1435">
        <f t="shared" si="22"/>
        <v>57.900000000000006</v>
      </c>
    </row>
    <row r="1436" spans="1:13">
      <c r="A1436" t="s">
        <v>334</v>
      </c>
      <c r="B1436" t="s">
        <v>335</v>
      </c>
      <c r="C1436" s="1">
        <v>39523</v>
      </c>
      <c r="D1436" t="s">
        <v>71</v>
      </c>
      <c r="E1436" t="s">
        <v>103</v>
      </c>
      <c r="F1436" t="s">
        <v>51</v>
      </c>
      <c r="G1436" t="s">
        <v>39</v>
      </c>
      <c r="H1436" t="s">
        <v>92</v>
      </c>
      <c r="J1436" t="s">
        <v>336</v>
      </c>
      <c r="K1436" s="2">
        <v>7.75</v>
      </c>
      <c r="L1436">
        <v>50</v>
      </c>
      <c r="M1436">
        <f t="shared" si="22"/>
        <v>387.5</v>
      </c>
    </row>
    <row r="1437" spans="1:13">
      <c r="A1437" t="s">
        <v>334</v>
      </c>
      <c r="B1437" t="s">
        <v>335</v>
      </c>
      <c r="C1437" s="1">
        <v>40065</v>
      </c>
      <c r="D1437" t="s">
        <v>95</v>
      </c>
      <c r="E1437" t="s">
        <v>50</v>
      </c>
      <c r="F1437" t="s">
        <v>27</v>
      </c>
      <c r="G1437" t="s">
        <v>17</v>
      </c>
      <c r="H1437" t="s">
        <v>92</v>
      </c>
      <c r="J1437" t="s">
        <v>336</v>
      </c>
      <c r="K1437" s="2">
        <v>21.05</v>
      </c>
      <c r="L1437">
        <v>10</v>
      </c>
      <c r="M1437">
        <f t="shared" si="22"/>
        <v>210.5</v>
      </c>
    </row>
    <row r="1438" spans="1:13">
      <c r="A1438" t="s">
        <v>334</v>
      </c>
      <c r="B1438" t="s">
        <v>335</v>
      </c>
      <c r="C1438" s="1">
        <v>39513</v>
      </c>
      <c r="D1438" t="s">
        <v>124</v>
      </c>
      <c r="E1438" t="s">
        <v>24</v>
      </c>
      <c r="F1438" t="s">
        <v>125</v>
      </c>
      <c r="G1438" t="s">
        <v>39</v>
      </c>
      <c r="H1438" t="s">
        <v>92</v>
      </c>
      <c r="J1438" t="s">
        <v>336</v>
      </c>
      <c r="K1438" s="2">
        <v>6</v>
      </c>
      <c r="L1438">
        <v>42</v>
      </c>
      <c r="M1438">
        <f t="shared" si="22"/>
        <v>252</v>
      </c>
    </row>
    <row r="1439" spans="1:13">
      <c r="A1439" t="s">
        <v>334</v>
      </c>
      <c r="B1439" t="s">
        <v>335</v>
      </c>
      <c r="C1439" s="1">
        <v>40114</v>
      </c>
      <c r="D1439" t="s">
        <v>116</v>
      </c>
      <c r="E1439" t="s">
        <v>15</v>
      </c>
      <c r="F1439" t="s">
        <v>22</v>
      </c>
      <c r="G1439" t="s">
        <v>39</v>
      </c>
      <c r="H1439" t="s">
        <v>92</v>
      </c>
      <c r="J1439" t="s">
        <v>336</v>
      </c>
      <c r="K1439" s="2">
        <v>15</v>
      </c>
      <c r="L1439">
        <v>40</v>
      </c>
      <c r="M1439">
        <f t="shared" si="22"/>
        <v>600</v>
      </c>
    </row>
    <row r="1440" spans="1:13">
      <c r="A1440" t="s">
        <v>334</v>
      </c>
      <c r="B1440" t="s">
        <v>335</v>
      </c>
      <c r="C1440" s="1">
        <v>39833</v>
      </c>
      <c r="D1440" t="s">
        <v>86</v>
      </c>
      <c r="E1440" t="s">
        <v>24</v>
      </c>
      <c r="F1440" t="s">
        <v>54</v>
      </c>
      <c r="G1440" t="s">
        <v>17</v>
      </c>
      <c r="H1440" t="s">
        <v>92</v>
      </c>
      <c r="J1440" t="s">
        <v>336</v>
      </c>
      <c r="K1440" s="2">
        <v>27.2</v>
      </c>
      <c r="L1440">
        <v>60</v>
      </c>
      <c r="M1440">
        <f t="shared" si="22"/>
        <v>1632</v>
      </c>
    </row>
    <row r="1441" spans="1:13">
      <c r="A1441" t="s">
        <v>334</v>
      </c>
      <c r="B1441" t="s">
        <v>335</v>
      </c>
      <c r="C1441" s="1">
        <v>39555</v>
      </c>
      <c r="D1441" t="s">
        <v>32</v>
      </c>
      <c r="E1441" t="s">
        <v>50</v>
      </c>
      <c r="F1441" t="s">
        <v>33</v>
      </c>
      <c r="G1441" t="s">
        <v>39</v>
      </c>
      <c r="H1441" t="s">
        <v>92</v>
      </c>
      <c r="J1441" t="s">
        <v>336</v>
      </c>
      <c r="K1441" s="2">
        <v>32.799999999999997</v>
      </c>
      <c r="L1441">
        <v>70</v>
      </c>
      <c r="M1441">
        <f t="shared" si="22"/>
        <v>2296</v>
      </c>
    </row>
    <row r="1442" spans="1:13">
      <c r="A1442" t="s">
        <v>334</v>
      </c>
      <c r="B1442" t="s">
        <v>335</v>
      </c>
      <c r="C1442" s="1">
        <v>39947</v>
      </c>
      <c r="D1442" t="s">
        <v>65</v>
      </c>
      <c r="E1442" t="s">
        <v>21</v>
      </c>
      <c r="F1442" t="s">
        <v>58</v>
      </c>
      <c r="G1442" t="s">
        <v>17</v>
      </c>
      <c r="H1442" t="s">
        <v>92</v>
      </c>
      <c r="J1442" t="s">
        <v>336</v>
      </c>
      <c r="K1442" s="2">
        <v>15</v>
      </c>
      <c r="L1442">
        <v>9</v>
      </c>
      <c r="M1442">
        <f t="shared" si="22"/>
        <v>135</v>
      </c>
    </row>
    <row r="1443" spans="1:13">
      <c r="A1443" t="s">
        <v>334</v>
      </c>
      <c r="B1443" t="s">
        <v>335</v>
      </c>
      <c r="C1443" s="1">
        <v>39833</v>
      </c>
      <c r="D1443" t="s">
        <v>43</v>
      </c>
      <c r="E1443" t="s">
        <v>24</v>
      </c>
      <c r="F1443" t="s">
        <v>41</v>
      </c>
      <c r="G1443" t="s">
        <v>17</v>
      </c>
      <c r="H1443" t="s">
        <v>92</v>
      </c>
      <c r="J1443" t="s">
        <v>336</v>
      </c>
      <c r="K1443" s="2">
        <v>28.8</v>
      </c>
      <c r="L1443">
        <v>20</v>
      </c>
      <c r="M1443">
        <f t="shared" si="22"/>
        <v>576</v>
      </c>
    </row>
    <row r="1444" spans="1:13">
      <c r="A1444" t="s">
        <v>334</v>
      </c>
      <c r="B1444" t="s">
        <v>335</v>
      </c>
      <c r="C1444" s="1">
        <v>40110</v>
      </c>
      <c r="D1444" t="s">
        <v>65</v>
      </c>
      <c r="E1444" t="s">
        <v>15</v>
      </c>
      <c r="F1444" t="s">
        <v>58</v>
      </c>
      <c r="G1444" t="s">
        <v>39</v>
      </c>
      <c r="H1444" t="s">
        <v>92</v>
      </c>
      <c r="J1444" t="s">
        <v>336</v>
      </c>
      <c r="K1444" s="2">
        <v>15</v>
      </c>
      <c r="L1444">
        <v>15</v>
      </c>
      <c r="M1444">
        <f t="shared" si="22"/>
        <v>225</v>
      </c>
    </row>
    <row r="1445" spans="1:13">
      <c r="A1445" t="s">
        <v>334</v>
      </c>
      <c r="B1445" t="s">
        <v>335</v>
      </c>
      <c r="C1445" s="1">
        <v>39947</v>
      </c>
      <c r="D1445" t="s">
        <v>75</v>
      </c>
      <c r="E1445" t="s">
        <v>21</v>
      </c>
      <c r="F1445" t="s">
        <v>76</v>
      </c>
      <c r="G1445" t="s">
        <v>17</v>
      </c>
      <c r="H1445" t="s">
        <v>92</v>
      </c>
      <c r="J1445" t="s">
        <v>336</v>
      </c>
      <c r="K1445" s="2">
        <v>34.799999999999997</v>
      </c>
      <c r="L1445">
        <v>21</v>
      </c>
      <c r="M1445">
        <f t="shared" si="22"/>
        <v>730.8</v>
      </c>
    </row>
    <row r="1446" spans="1:13">
      <c r="A1446" t="s">
        <v>334</v>
      </c>
      <c r="B1446" t="s">
        <v>335</v>
      </c>
      <c r="C1446" s="1">
        <v>40114</v>
      </c>
      <c r="D1446" t="s">
        <v>30</v>
      </c>
      <c r="E1446" t="s">
        <v>15</v>
      </c>
      <c r="F1446" t="s">
        <v>31</v>
      </c>
      <c r="G1446" t="s">
        <v>39</v>
      </c>
      <c r="H1446" t="s">
        <v>92</v>
      </c>
      <c r="J1446" t="s">
        <v>336</v>
      </c>
      <c r="K1446" s="2">
        <v>31.23</v>
      </c>
      <c r="L1446">
        <v>20</v>
      </c>
      <c r="M1446">
        <f t="shared" si="22"/>
        <v>624.6</v>
      </c>
    </row>
    <row r="1447" spans="1:13">
      <c r="A1447" t="s">
        <v>334</v>
      </c>
      <c r="B1447" t="s">
        <v>335</v>
      </c>
      <c r="C1447" s="1">
        <v>39638</v>
      </c>
      <c r="D1447" t="s">
        <v>57</v>
      </c>
      <c r="E1447" t="s">
        <v>103</v>
      </c>
      <c r="F1447" t="s">
        <v>58</v>
      </c>
      <c r="G1447" t="s">
        <v>17</v>
      </c>
      <c r="H1447" t="s">
        <v>92</v>
      </c>
      <c r="J1447" t="s">
        <v>336</v>
      </c>
      <c r="K1447" s="2">
        <v>15.2</v>
      </c>
      <c r="L1447">
        <v>25</v>
      </c>
      <c r="M1447">
        <f t="shared" si="22"/>
        <v>380</v>
      </c>
    </row>
    <row r="1448" spans="1:13">
      <c r="A1448" t="s">
        <v>334</v>
      </c>
      <c r="B1448" t="s">
        <v>335</v>
      </c>
      <c r="C1448" s="1">
        <v>39638</v>
      </c>
      <c r="D1448" t="s">
        <v>20</v>
      </c>
      <c r="E1448" t="s">
        <v>103</v>
      </c>
      <c r="F1448" t="s">
        <v>22</v>
      </c>
      <c r="G1448" t="s">
        <v>17</v>
      </c>
      <c r="H1448" t="s">
        <v>92</v>
      </c>
      <c r="J1448" t="s">
        <v>336</v>
      </c>
      <c r="K1448" s="2">
        <v>13.9</v>
      </c>
      <c r="L1448">
        <v>35</v>
      </c>
      <c r="M1448">
        <f t="shared" si="22"/>
        <v>486.5</v>
      </c>
    </row>
    <row r="1449" spans="1:13">
      <c r="A1449" t="s">
        <v>334</v>
      </c>
      <c r="B1449" t="s">
        <v>335</v>
      </c>
      <c r="C1449" s="1">
        <v>39638</v>
      </c>
      <c r="D1449" t="s">
        <v>36</v>
      </c>
      <c r="E1449" t="s">
        <v>103</v>
      </c>
      <c r="F1449" t="s">
        <v>37</v>
      </c>
      <c r="G1449" t="s">
        <v>17</v>
      </c>
      <c r="H1449" t="s">
        <v>92</v>
      </c>
      <c r="J1449" t="s">
        <v>336</v>
      </c>
      <c r="K1449" s="2">
        <v>15.2</v>
      </c>
      <c r="L1449">
        <v>20</v>
      </c>
      <c r="M1449">
        <f t="shared" si="22"/>
        <v>304</v>
      </c>
    </row>
    <row r="1450" spans="1:13">
      <c r="A1450" t="s">
        <v>334</v>
      </c>
      <c r="B1450" t="s">
        <v>335</v>
      </c>
      <c r="C1450" s="1">
        <v>40110</v>
      </c>
      <c r="D1450" t="s">
        <v>30</v>
      </c>
      <c r="E1450" t="s">
        <v>15</v>
      </c>
      <c r="F1450" t="s">
        <v>31</v>
      </c>
      <c r="G1450" t="s">
        <v>39</v>
      </c>
      <c r="H1450" t="s">
        <v>92</v>
      </c>
      <c r="J1450" t="s">
        <v>336</v>
      </c>
      <c r="K1450" s="2">
        <v>31.23</v>
      </c>
      <c r="L1450">
        <v>12</v>
      </c>
      <c r="M1450">
        <f t="shared" si="22"/>
        <v>374.76</v>
      </c>
    </row>
    <row r="1451" spans="1:13">
      <c r="A1451" t="s">
        <v>334</v>
      </c>
      <c r="B1451" t="s">
        <v>335</v>
      </c>
      <c r="C1451" s="1">
        <v>39513</v>
      </c>
      <c r="D1451" t="s">
        <v>123</v>
      </c>
      <c r="E1451" t="s">
        <v>24</v>
      </c>
      <c r="F1451" t="s">
        <v>63</v>
      </c>
      <c r="G1451" t="s">
        <v>39</v>
      </c>
      <c r="H1451" t="s">
        <v>92</v>
      </c>
      <c r="J1451" t="s">
        <v>336</v>
      </c>
      <c r="K1451" s="2">
        <v>19.5</v>
      </c>
      <c r="L1451">
        <v>30</v>
      </c>
      <c r="M1451">
        <f t="shared" si="22"/>
        <v>585</v>
      </c>
    </row>
    <row r="1452" spans="1:13">
      <c r="A1452" t="s">
        <v>334</v>
      </c>
      <c r="B1452" t="s">
        <v>335</v>
      </c>
      <c r="C1452" s="1">
        <v>40110</v>
      </c>
      <c r="D1452" t="s">
        <v>169</v>
      </c>
      <c r="E1452" t="s">
        <v>15</v>
      </c>
      <c r="F1452" t="s">
        <v>97</v>
      </c>
      <c r="G1452" t="s">
        <v>39</v>
      </c>
      <c r="H1452" t="s">
        <v>92</v>
      </c>
      <c r="J1452" t="s">
        <v>336</v>
      </c>
      <c r="K1452" s="2">
        <v>16.25</v>
      </c>
      <c r="L1452">
        <v>20</v>
      </c>
      <c r="M1452">
        <f t="shared" si="22"/>
        <v>325</v>
      </c>
    </row>
    <row r="1453" spans="1:13">
      <c r="A1453" t="s">
        <v>334</v>
      </c>
      <c r="B1453" t="s">
        <v>335</v>
      </c>
      <c r="C1453" s="1">
        <v>39638</v>
      </c>
      <c r="D1453" t="s">
        <v>52</v>
      </c>
      <c r="E1453" t="s">
        <v>103</v>
      </c>
      <c r="F1453" t="s">
        <v>54</v>
      </c>
      <c r="G1453" t="s">
        <v>17</v>
      </c>
      <c r="H1453" t="s">
        <v>92</v>
      </c>
      <c r="J1453" t="s">
        <v>336</v>
      </c>
      <c r="K1453" s="2">
        <v>44</v>
      </c>
      <c r="L1453">
        <v>30</v>
      </c>
      <c r="M1453">
        <f t="shared" si="22"/>
        <v>1320</v>
      </c>
    </row>
    <row r="1454" spans="1:13">
      <c r="A1454" t="s">
        <v>334</v>
      </c>
      <c r="B1454" t="s">
        <v>335</v>
      </c>
      <c r="C1454" s="1">
        <v>39574</v>
      </c>
      <c r="D1454" t="s">
        <v>70</v>
      </c>
      <c r="E1454" t="s">
        <v>67</v>
      </c>
      <c r="F1454" t="s">
        <v>61</v>
      </c>
      <c r="G1454" t="s">
        <v>39</v>
      </c>
      <c r="H1454" t="s">
        <v>92</v>
      </c>
      <c r="J1454" t="s">
        <v>336</v>
      </c>
      <c r="K1454" s="2">
        <v>12</v>
      </c>
      <c r="L1454">
        <v>30</v>
      </c>
      <c r="M1454">
        <f t="shared" si="22"/>
        <v>360</v>
      </c>
    </row>
    <row r="1455" spans="1:13">
      <c r="A1455" t="s">
        <v>334</v>
      </c>
      <c r="B1455" t="s">
        <v>335</v>
      </c>
      <c r="C1455" s="1">
        <v>39574</v>
      </c>
      <c r="D1455" t="s">
        <v>36</v>
      </c>
      <c r="E1455" t="s">
        <v>67</v>
      </c>
      <c r="F1455" t="s">
        <v>37</v>
      </c>
      <c r="G1455" t="s">
        <v>39</v>
      </c>
      <c r="H1455" t="s">
        <v>92</v>
      </c>
      <c r="J1455" t="s">
        <v>336</v>
      </c>
      <c r="K1455" s="2">
        <v>19</v>
      </c>
      <c r="L1455">
        <v>10</v>
      </c>
      <c r="M1455">
        <f t="shared" si="22"/>
        <v>190</v>
      </c>
    </row>
    <row r="1456" spans="1:13">
      <c r="A1456" t="s">
        <v>334</v>
      </c>
      <c r="B1456" t="s">
        <v>335</v>
      </c>
      <c r="C1456" s="1">
        <v>39574</v>
      </c>
      <c r="D1456" t="s">
        <v>96</v>
      </c>
      <c r="E1456" t="s">
        <v>67</v>
      </c>
      <c r="F1456" t="s">
        <v>97</v>
      </c>
      <c r="G1456" t="s">
        <v>39</v>
      </c>
      <c r="H1456" t="s">
        <v>92</v>
      </c>
      <c r="J1456" t="s">
        <v>336</v>
      </c>
      <c r="K1456" s="2">
        <v>18</v>
      </c>
      <c r="L1456">
        <v>2</v>
      </c>
      <c r="M1456">
        <f t="shared" si="22"/>
        <v>36</v>
      </c>
    </row>
    <row r="1457" spans="1:13">
      <c r="A1457" t="s">
        <v>334</v>
      </c>
      <c r="B1457" t="s">
        <v>335</v>
      </c>
      <c r="C1457" s="1">
        <v>39555</v>
      </c>
      <c r="D1457" t="s">
        <v>43</v>
      </c>
      <c r="E1457" t="s">
        <v>50</v>
      </c>
      <c r="F1457" t="s">
        <v>41</v>
      </c>
      <c r="G1457" t="s">
        <v>39</v>
      </c>
      <c r="H1457" t="s">
        <v>92</v>
      </c>
      <c r="J1457" t="s">
        <v>336</v>
      </c>
      <c r="K1457" s="2">
        <v>36</v>
      </c>
      <c r="L1457">
        <v>36</v>
      </c>
      <c r="M1457">
        <f t="shared" si="22"/>
        <v>1296</v>
      </c>
    </row>
    <row r="1458" spans="1:13">
      <c r="A1458" t="s">
        <v>337</v>
      </c>
      <c r="B1458" t="s">
        <v>338</v>
      </c>
      <c r="C1458" s="1">
        <v>40058</v>
      </c>
      <c r="D1458" t="s">
        <v>62</v>
      </c>
      <c r="E1458" t="s">
        <v>15</v>
      </c>
      <c r="F1458" t="s">
        <v>63</v>
      </c>
      <c r="G1458" t="s">
        <v>39</v>
      </c>
      <c r="H1458" t="s">
        <v>141</v>
      </c>
      <c r="J1458" t="s">
        <v>339</v>
      </c>
      <c r="K1458" s="2">
        <v>38</v>
      </c>
      <c r="L1458">
        <v>60</v>
      </c>
      <c r="M1458">
        <f t="shared" si="22"/>
        <v>2280</v>
      </c>
    </row>
    <row r="1459" spans="1:13">
      <c r="A1459" t="s">
        <v>337</v>
      </c>
      <c r="B1459" t="s">
        <v>338</v>
      </c>
      <c r="C1459" s="1">
        <v>39653</v>
      </c>
      <c r="D1459" t="s">
        <v>36</v>
      </c>
      <c r="E1459" t="s">
        <v>89</v>
      </c>
      <c r="F1459" t="s">
        <v>37</v>
      </c>
      <c r="G1459" t="s">
        <v>17</v>
      </c>
      <c r="H1459" t="s">
        <v>141</v>
      </c>
      <c r="J1459" t="s">
        <v>339</v>
      </c>
      <c r="K1459" s="2">
        <v>15.2</v>
      </c>
      <c r="L1459">
        <v>35</v>
      </c>
      <c r="M1459">
        <f t="shared" si="22"/>
        <v>532</v>
      </c>
    </row>
    <row r="1460" spans="1:13">
      <c r="A1460" t="s">
        <v>337</v>
      </c>
      <c r="B1460" t="s">
        <v>338</v>
      </c>
      <c r="C1460" s="1">
        <v>39456</v>
      </c>
      <c r="D1460" t="s">
        <v>133</v>
      </c>
      <c r="E1460" t="s">
        <v>67</v>
      </c>
      <c r="F1460" t="s">
        <v>134</v>
      </c>
      <c r="G1460" t="s">
        <v>39</v>
      </c>
      <c r="H1460" t="s">
        <v>141</v>
      </c>
      <c r="J1460" t="s">
        <v>339</v>
      </c>
      <c r="K1460" s="2">
        <v>9.65</v>
      </c>
      <c r="L1460">
        <v>12</v>
      </c>
      <c r="M1460">
        <f t="shared" si="22"/>
        <v>115.80000000000001</v>
      </c>
    </row>
    <row r="1461" spans="1:13">
      <c r="A1461" t="s">
        <v>337</v>
      </c>
      <c r="B1461" t="s">
        <v>338</v>
      </c>
      <c r="C1461" s="1">
        <v>39731</v>
      </c>
      <c r="D1461" t="s">
        <v>36</v>
      </c>
      <c r="E1461" t="s">
        <v>53</v>
      </c>
      <c r="F1461" t="s">
        <v>37</v>
      </c>
      <c r="G1461" t="s">
        <v>17</v>
      </c>
      <c r="H1461" t="s">
        <v>141</v>
      </c>
      <c r="J1461" t="s">
        <v>339</v>
      </c>
      <c r="K1461" s="2">
        <v>15.2</v>
      </c>
      <c r="L1461">
        <v>25</v>
      </c>
      <c r="M1461">
        <f t="shared" si="22"/>
        <v>380</v>
      </c>
    </row>
    <row r="1462" spans="1:13">
      <c r="A1462" t="s">
        <v>337</v>
      </c>
      <c r="B1462" t="s">
        <v>338</v>
      </c>
      <c r="C1462" s="1">
        <v>39731</v>
      </c>
      <c r="D1462" t="s">
        <v>131</v>
      </c>
      <c r="E1462" t="s">
        <v>53</v>
      </c>
      <c r="F1462" t="s">
        <v>132</v>
      </c>
      <c r="G1462" t="s">
        <v>17</v>
      </c>
      <c r="H1462" t="s">
        <v>141</v>
      </c>
      <c r="J1462" t="s">
        <v>339</v>
      </c>
      <c r="K1462" s="2">
        <v>16.8</v>
      </c>
      <c r="L1462">
        <v>50</v>
      </c>
      <c r="M1462">
        <f t="shared" si="22"/>
        <v>840</v>
      </c>
    </row>
    <row r="1463" spans="1:13">
      <c r="A1463" t="s">
        <v>337</v>
      </c>
      <c r="B1463" t="s">
        <v>338</v>
      </c>
      <c r="C1463" s="1">
        <v>39731</v>
      </c>
      <c r="D1463" t="s">
        <v>83</v>
      </c>
      <c r="E1463" t="s">
        <v>53</v>
      </c>
      <c r="F1463" t="s">
        <v>84</v>
      </c>
      <c r="G1463" t="s">
        <v>17</v>
      </c>
      <c r="H1463" t="s">
        <v>141</v>
      </c>
      <c r="J1463" t="s">
        <v>339</v>
      </c>
      <c r="K1463" s="2">
        <v>20.7</v>
      </c>
      <c r="L1463">
        <v>35</v>
      </c>
      <c r="M1463">
        <f t="shared" si="22"/>
        <v>724.5</v>
      </c>
    </row>
    <row r="1464" spans="1:13">
      <c r="A1464" t="s">
        <v>337</v>
      </c>
      <c r="B1464" t="s">
        <v>338</v>
      </c>
      <c r="C1464" s="1">
        <v>39488</v>
      </c>
      <c r="D1464" t="s">
        <v>116</v>
      </c>
      <c r="E1464" t="s">
        <v>50</v>
      </c>
      <c r="F1464" t="s">
        <v>22</v>
      </c>
      <c r="G1464" t="s">
        <v>39</v>
      </c>
      <c r="H1464" t="s">
        <v>141</v>
      </c>
      <c r="J1464" t="s">
        <v>339</v>
      </c>
      <c r="K1464" s="2">
        <v>15</v>
      </c>
      <c r="L1464">
        <v>50</v>
      </c>
      <c r="M1464">
        <f t="shared" si="22"/>
        <v>750</v>
      </c>
    </row>
    <row r="1465" spans="1:13">
      <c r="A1465" t="s">
        <v>337</v>
      </c>
      <c r="B1465" t="s">
        <v>338</v>
      </c>
      <c r="C1465" s="1">
        <v>39942</v>
      </c>
      <c r="D1465" t="s">
        <v>75</v>
      </c>
      <c r="E1465" t="s">
        <v>67</v>
      </c>
      <c r="F1465" t="s">
        <v>76</v>
      </c>
      <c r="G1465" t="s">
        <v>17</v>
      </c>
      <c r="H1465" t="s">
        <v>141</v>
      </c>
      <c r="J1465" t="s">
        <v>339</v>
      </c>
      <c r="K1465" s="2">
        <v>34.799999999999997</v>
      </c>
      <c r="L1465">
        <v>24</v>
      </c>
      <c r="M1465">
        <f t="shared" si="22"/>
        <v>835.19999999999993</v>
      </c>
    </row>
    <row r="1466" spans="1:13">
      <c r="A1466" t="s">
        <v>337</v>
      </c>
      <c r="B1466" t="s">
        <v>338</v>
      </c>
      <c r="C1466" s="1">
        <v>39731</v>
      </c>
      <c r="D1466" t="s">
        <v>68</v>
      </c>
      <c r="E1466" t="s">
        <v>53</v>
      </c>
      <c r="F1466" t="s">
        <v>69</v>
      </c>
      <c r="G1466" t="s">
        <v>17</v>
      </c>
      <c r="H1466" t="s">
        <v>141</v>
      </c>
      <c r="J1466" t="s">
        <v>339</v>
      </c>
      <c r="K1466" s="2">
        <v>10.6</v>
      </c>
      <c r="L1466">
        <v>30</v>
      </c>
      <c r="M1466">
        <f t="shared" si="22"/>
        <v>318</v>
      </c>
    </row>
    <row r="1467" spans="1:13">
      <c r="A1467" t="s">
        <v>337</v>
      </c>
      <c r="B1467" t="s">
        <v>338</v>
      </c>
      <c r="C1467" s="1">
        <v>39524</v>
      </c>
      <c r="D1467" t="s">
        <v>71</v>
      </c>
      <c r="E1467" t="s">
        <v>67</v>
      </c>
      <c r="F1467" t="s">
        <v>51</v>
      </c>
      <c r="G1467" t="s">
        <v>39</v>
      </c>
      <c r="H1467" t="s">
        <v>141</v>
      </c>
      <c r="J1467" t="s">
        <v>339</v>
      </c>
      <c r="K1467" s="2">
        <v>7.75</v>
      </c>
      <c r="L1467">
        <v>12</v>
      </c>
      <c r="M1467">
        <f t="shared" si="22"/>
        <v>93</v>
      </c>
    </row>
    <row r="1468" spans="1:13">
      <c r="A1468" t="s">
        <v>337</v>
      </c>
      <c r="B1468" t="s">
        <v>338</v>
      </c>
      <c r="C1468" s="1">
        <v>40058</v>
      </c>
      <c r="D1468" t="s">
        <v>109</v>
      </c>
      <c r="E1468" t="s">
        <v>15</v>
      </c>
      <c r="F1468" t="s">
        <v>56</v>
      </c>
      <c r="G1468" t="s">
        <v>39</v>
      </c>
      <c r="H1468" t="s">
        <v>141</v>
      </c>
      <c r="J1468" t="s">
        <v>339</v>
      </c>
      <c r="K1468" s="2">
        <v>18</v>
      </c>
      <c r="L1468">
        <v>16</v>
      </c>
      <c r="M1468">
        <f t="shared" si="22"/>
        <v>288</v>
      </c>
    </row>
    <row r="1469" spans="1:13">
      <c r="A1469" t="s">
        <v>337</v>
      </c>
      <c r="B1469" t="s">
        <v>338</v>
      </c>
      <c r="C1469" s="1">
        <v>39970</v>
      </c>
      <c r="D1469" t="s">
        <v>73</v>
      </c>
      <c r="E1469" t="s">
        <v>53</v>
      </c>
      <c r="F1469" t="s">
        <v>74</v>
      </c>
      <c r="G1469" t="s">
        <v>17</v>
      </c>
      <c r="H1469" t="s">
        <v>141</v>
      </c>
      <c r="J1469" t="s">
        <v>339</v>
      </c>
      <c r="K1469" s="2">
        <v>19.45</v>
      </c>
      <c r="L1469">
        <v>10</v>
      </c>
      <c r="M1469">
        <f t="shared" si="22"/>
        <v>194.5</v>
      </c>
    </row>
    <row r="1470" spans="1:13">
      <c r="A1470" t="s">
        <v>337</v>
      </c>
      <c r="B1470" t="s">
        <v>338</v>
      </c>
      <c r="C1470" s="1">
        <v>40058</v>
      </c>
      <c r="D1470" t="s">
        <v>85</v>
      </c>
      <c r="E1470" t="s">
        <v>15</v>
      </c>
      <c r="F1470" t="s">
        <v>33</v>
      </c>
      <c r="G1470" t="s">
        <v>39</v>
      </c>
      <c r="H1470" t="s">
        <v>141</v>
      </c>
      <c r="J1470" t="s">
        <v>339</v>
      </c>
      <c r="K1470" s="2">
        <v>53</v>
      </c>
      <c r="L1470">
        <v>28</v>
      </c>
      <c r="M1470">
        <f t="shared" si="22"/>
        <v>1484</v>
      </c>
    </row>
    <row r="1471" spans="1:13">
      <c r="A1471" t="s">
        <v>337</v>
      </c>
      <c r="B1471" t="s">
        <v>338</v>
      </c>
      <c r="C1471" s="1">
        <v>40100</v>
      </c>
      <c r="D1471" t="s">
        <v>65</v>
      </c>
      <c r="E1471" t="s">
        <v>89</v>
      </c>
      <c r="F1471" t="s">
        <v>58</v>
      </c>
      <c r="G1471" t="s">
        <v>17</v>
      </c>
      <c r="H1471" t="s">
        <v>141</v>
      </c>
      <c r="J1471" t="s">
        <v>339</v>
      </c>
      <c r="K1471" s="2">
        <v>15</v>
      </c>
      <c r="L1471">
        <v>35</v>
      </c>
      <c r="M1471">
        <f t="shared" si="22"/>
        <v>525</v>
      </c>
    </row>
    <row r="1472" spans="1:13">
      <c r="A1472" t="s">
        <v>337</v>
      </c>
      <c r="B1472" t="s">
        <v>338</v>
      </c>
      <c r="C1472" s="1">
        <v>40100</v>
      </c>
      <c r="D1472" t="s">
        <v>52</v>
      </c>
      <c r="E1472" t="s">
        <v>89</v>
      </c>
      <c r="F1472" t="s">
        <v>54</v>
      </c>
      <c r="G1472" t="s">
        <v>17</v>
      </c>
      <c r="H1472" t="s">
        <v>141</v>
      </c>
      <c r="J1472" t="s">
        <v>339</v>
      </c>
      <c r="K1472" s="2">
        <v>55</v>
      </c>
      <c r="L1472">
        <v>35</v>
      </c>
      <c r="M1472">
        <f t="shared" si="22"/>
        <v>1925</v>
      </c>
    </row>
    <row r="1473" spans="1:13">
      <c r="A1473" t="s">
        <v>337</v>
      </c>
      <c r="B1473" t="s">
        <v>338</v>
      </c>
      <c r="C1473" s="1">
        <v>40100</v>
      </c>
      <c r="D1473" t="s">
        <v>36</v>
      </c>
      <c r="E1473" t="s">
        <v>89</v>
      </c>
      <c r="F1473" t="s">
        <v>37</v>
      </c>
      <c r="G1473" t="s">
        <v>17</v>
      </c>
      <c r="H1473" t="s">
        <v>141</v>
      </c>
      <c r="J1473" t="s">
        <v>339</v>
      </c>
      <c r="K1473" s="2">
        <v>19</v>
      </c>
      <c r="L1473">
        <v>5</v>
      </c>
      <c r="M1473">
        <f t="shared" si="22"/>
        <v>95</v>
      </c>
    </row>
    <row r="1474" spans="1:13">
      <c r="A1474" t="s">
        <v>337</v>
      </c>
      <c r="B1474" t="s">
        <v>338</v>
      </c>
      <c r="C1474" s="1">
        <v>40066</v>
      </c>
      <c r="D1474" t="s">
        <v>152</v>
      </c>
      <c r="E1474" t="s">
        <v>24</v>
      </c>
      <c r="F1474" t="s">
        <v>27</v>
      </c>
      <c r="G1474" t="s">
        <v>39</v>
      </c>
      <c r="H1474" t="s">
        <v>141</v>
      </c>
      <c r="J1474" t="s">
        <v>339</v>
      </c>
      <c r="K1474" s="2">
        <v>17</v>
      </c>
      <c r="L1474">
        <v>50</v>
      </c>
      <c r="M1474">
        <f t="shared" si="22"/>
        <v>850</v>
      </c>
    </row>
    <row r="1475" spans="1:13">
      <c r="A1475" t="s">
        <v>337</v>
      </c>
      <c r="B1475" t="s">
        <v>338</v>
      </c>
      <c r="C1475" s="1">
        <v>40066</v>
      </c>
      <c r="D1475" t="s">
        <v>137</v>
      </c>
      <c r="E1475" t="s">
        <v>24</v>
      </c>
      <c r="F1475" t="s">
        <v>76</v>
      </c>
      <c r="G1475" t="s">
        <v>39</v>
      </c>
      <c r="H1475" t="s">
        <v>141</v>
      </c>
      <c r="J1475" t="s">
        <v>339</v>
      </c>
      <c r="K1475" s="2">
        <v>12.5</v>
      </c>
      <c r="L1475">
        <v>2</v>
      </c>
      <c r="M1475">
        <f t="shared" ref="M1475:M1538" si="23">K1475*L1475</f>
        <v>25</v>
      </c>
    </row>
    <row r="1476" spans="1:13">
      <c r="A1476" t="s">
        <v>337</v>
      </c>
      <c r="B1476" t="s">
        <v>338</v>
      </c>
      <c r="C1476" s="1">
        <v>39970</v>
      </c>
      <c r="D1476" t="s">
        <v>85</v>
      </c>
      <c r="E1476" t="s">
        <v>53</v>
      </c>
      <c r="F1476" t="s">
        <v>33</v>
      </c>
      <c r="G1476" t="s">
        <v>17</v>
      </c>
      <c r="H1476" t="s">
        <v>141</v>
      </c>
      <c r="J1476" t="s">
        <v>339</v>
      </c>
      <c r="K1476" s="2">
        <v>53</v>
      </c>
      <c r="L1476">
        <v>50</v>
      </c>
      <c r="M1476">
        <f t="shared" si="23"/>
        <v>2650</v>
      </c>
    </row>
    <row r="1477" spans="1:13">
      <c r="A1477" t="s">
        <v>337</v>
      </c>
      <c r="B1477" t="s">
        <v>338</v>
      </c>
      <c r="C1477" s="1">
        <v>39534</v>
      </c>
      <c r="D1477" t="s">
        <v>71</v>
      </c>
      <c r="E1477" t="s">
        <v>24</v>
      </c>
      <c r="F1477" t="s">
        <v>51</v>
      </c>
      <c r="G1477" t="s">
        <v>39</v>
      </c>
      <c r="H1477" t="s">
        <v>141</v>
      </c>
      <c r="J1477" t="s">
        <v>339</v>
      </c>
      <c r="K1477" s="2">
        <v>7.75</v>
      </c>
      <c r="L1477">
        <v>40</v>
      </c>
      <c r="M1477">
        <f t="shared" si="23"/>
        <v>310</v>
      </c>
    </row>
    <row r="1478" spans="1:13">
      <c r="A1478" t="s">
        <v>337</v>
      </c>
      <c r="B1478" t="s">
        <v>338</v>
      </c>
      <c r="C1478" s="1">
        <v>39488</v>
      </c>
      <c r="D1478" t="s">
        <v>130</v>
      </c>
      <c r="E1478" t="s">
        <v>50</v>
      </c>
      <c r="F1478" t="s">
        <v>118</v>
      </c>
      <c r="G1478" t="s">
        <v>39</v>
      </c>
      <c r="H1478" t="s">
        <v>141</v>
      </c>
      <c r="J1478" t="s">
        <v>339</v>
      </c>
      <c r="K1478" s="2">
        <v>9</v>
      </c>
      <c r="L1478">
        <v>30</v>
      </c>
      <c r="M1478">
        <f t="shared" si="23"/>
        <v>270</v>
      </c>
    </row>
    <row r="1479" spans="1:13">
      <c r="A1479" t="s">
        <v>337</v>
      </c>
      <c r="B1479" t="s">
        <v>338</v>
      </c>
      <c r="C1479" s="1">
        <v>39456</v>
      </c>
      <c r="D1479" t="s">
        <v>116</v>
      </c>
      <c r="E1479" t="s">
        <v>67</v>
      </c>
      <c r="F1479" t="s">
        <v>22</v>
      </c>
      <c r="G1479" t="s">
        <v>39</v>
      </c>
      <c r="H1479" t="s">
        <v>141</v>
      </c>
      <c r="J1479" t="s">
        <v>339</v>
      </c>
      <c r="K1479" s="2">
        <v>15</v>
      </c>
      <c r="L1479">
        <v>9</v>
      </c>
      <c r="M1479">
        <f t="shared" si="23"/>
        <v>135</v>
      </c>
    </row>
    <row r="1480" spans="1:13">
      <c r="A1480" t="s">
        <v>337</v>
      </c>
      <c r="B1480" t="s">
        <v>338</v>
      </c>
      <c r="C1480" s="1">
        <v>40058</v>
      </c>
      <c r="D1480" t="s">
        <v>170</v>
      </c>
      <c r="E1480" t="s">
        <v>15</v>
      </c>
      <c r="F1480" t="s">
        <v>101</v>
      </c>
      <c r="G1480" t="s">
        <v>39</v>
      </c>
      <c r="H1480" t="s">
        <v>141</v>
      </c>
      <c r="J1480" t="s">
        <v>339</v>
      </c>
      <c r="K1480" s="2">
        <v>9.5</v>
      </c>
      <c r="L1480">
        <v>30</v>
      </c>
      <c r="M1480">
        <f t="shared" si="23"/>
        <v>285</v>
      </c>
    </row>
    <row r="1481" spans="1:13">
      <c r="A1481" t="s">
        <v>337</v>
      </c>
      <c r="B1481" t="s">
        <v>338</v>
      </c>
      <c r="C1481" s="1">
        <v>39942</v>
      </c>
      <c r="D1481" t="s">
        <v>65</v>
      </c>
      <c r="E1481" t="s">
        <v>67</v>
      </c>
      <c r="F1481" t="s">
        <v>58</v>
      </c>
      <c r="G1481" t="s">
        <v>17</v>
      </c>
      <c r="H1481" t="s">
        <v>141</v>
      </c>
      <c r="J1481" t="s">
        <v>339</v>
      </c>
      <c r="K1481" s="2">
        <v>15</v>
      </c>
      <c r="L1481">
        <v>24</v>
      </c>
      <c r="M1481">
        <f t="shared" si="23"/>
        <v>360</v>
      </c>
    </row>
    <row r="1482" spans="1:13">
      <c r="A1482" t="s">
        <v>337</v>
      </c>
      <c r="B1482" t="s">
        <v>338</v>
      </c>
      <c r="C1482" s="1">
        <v>39488</v>
      </c>
      <c r="D1482" t="s">
        <v>28</v>
      </c>
      <c r="E1482" t="s">
        <v>50</v>
      </c>
      <c r="F1482" t="s">
        <v>29</v>
      </c>
      <c r="G1482" t="s">
        <v>39</v>
      </c>
      <c r="H1482" t="s">
        <v>141</v>
      </c>
      <c r="J1482" t="s">
        <v>339</v>
      </c>
      <c r="K1482" s="2">
        <v>28.5</v>
      </c>
      <c r="L1482">
        <v>30</v>
      </c>
      <c r="M1482">
        <f t="shared" si="23"/>
        <v>855</v>
      </c>
    </row>
    <row r="1483" spans="1:13">
      <c r="A1483" t="s">
        <v>337</v>
      </c>
      <c r="B1483" t="s">
        <v>338</v>
      </c>
      <c r="C1483" s="1">
        <v>39544</v>
      </c>
      <c r="D1483" t="s">
        <v>70</v>
      </c>
      <c r="E1483" t="s">
        <v>53</v>
      </c>
      <c r="F1483" t="s">
        <v>61</v>
      </c>
      <c r="G1483" t="s">
        <v>39</v>
      </c>
      <c r="H1483" t="s">
        <v>141</v>
      </c>
      <c r="J1483" t="s">
        <v>339</v>
      </c>
      <c r="K1483" s="2">
        <v>12</v>
      </c>
      <c r="L1483">
        <v>25</v>
      </c>
      <c r="M1483">
        <f t="shared" si="23"/>
        <v>300</v>
      </c>
    </row>
    <row r="1484" spans="1:13">
      <c r="A1484" t="s">
        <v>337</v>
      </c>
      <c r="B1484" t="s">
        <v>338</v>
      </c>
      <c r="C1484" s="1">
        <v>39544</v>
      </c>
      <c r="D1484" t="s">
        <v>148</v>
      </c>
      <c r="E1484" t="s">
        <v>53</v>
      </c>
      <c r="F1484" t="s">
        <v>16</v>
      </c>
      <c r="G1484" t="s">
        <v>39</v>
      </c>
      <c r="H1484" t="s">
        <v>141</v>
      </c>
      <c r="J1484" t="s">
        <v>339</v>
      </c>
      <c r="K1484" s="2">
        <v>24</v>
      </c>
      <c r="L1484">
        <v>6</v>
      </c>
      <c r="M1484">
        <f t="shared" si="23"/>
        <v>144</v>
      </c>
    </row>
    <row r="1485" spans="1:13">
      <c r="A1485" t="s">
        <v>337</v>
      </c>
      <c r="B1485" t="s">
        <v>338</v>
      </c>
      <c r="C1485" s="1">
        <v>39533</v>
      </c>
      <c r="D1485" t="s">
        <v>72</v>
      </c>
      <c r="E1485" t="s">
        <v>67</v>
      </c>
      <c r="F1485" t="s">
        <v>22</v>
      </c>
      <c r="G1485" t="s">
        <v>39</v>
      </c>
      <c r="H1485" t="s">
        <v>141</v>
      </c>
      <c r="J1485" t="s">
        <v>339</v>
      </c>
      <c r="K1485" s="2">
        <v>43.9</v>
      </c>
      <c r="L1485">
        <v>20</v>
      </c>
      <c r="M1485">
        <f t="shared" si="23"/>
        <v>878</v>
      </c>
    </row>
    <row r="1486" spans="1:13">
      <c r="A1486" t="s">
        <v>337</v>
      </c>
      <c r="B1486" t="s">
        <v>338</v>
      </c>
      <c r="C1486" s="1">
        <v>39872</v>
      </c>
      <c r="D1486" t="s">
        <v>82</v>
      </c>
      <c r="E1486" t="s">
        <v>67</v>
      </c>
      <c r="F1486" t="s">
        <v>35</v>
      </c>
      <c r="G1486" t="s">
        <v>17</v>
      </c>
      <c r="H1486" t="s">
        <v>141</v>
      </c>
      <c r="J1486" t="s">
        <v>339</v>
      </c>
      <c r="K1486" s="2">
        <v>10</v>
      </c>
      <c r="L1486">
        <v>21</v>
      </c>
      <c r="M1486">
        <f t="shared" si="23"/>
        <v>210</v>
      </c>
    </row>
    <row r="1487" spans="1:13">
      <c r="A1487" t="s">
        <v>337</v>
      </c>
      <c r="B1487" t="s">
        <v>338</v>
      </c>
      <c r="C1487" s="1">
        <v>39533</v>
      </c>
      <c r="D1487" t="s">
        <v>85</v>
      </c>
      <c r="E1487" t="s">
        <v>67</v>
      </c>
      <c r="F1487" t="s">
        <v>33</v>
      </c>
      <c r="G1487" t="s">
        <v>39</v>
      </c>
      <c r="H1487" t="s">
        <v>141</v>
      </c>
      <c r="J1487" t="s">
        <v>339</v>
      </c>
      <c r="K1487" s="2">
        <v>53</v>
      </c>
      <c r="L1487">
        <v>10</v>
      </c>
      <c r="M1487">
        <f t="shared" si="23"/>
        <v>530</v>
      </c>
    </row>
    <row r="1488" spans="1:13">
      <c r="A1488" t="s">
        <v>337</v>
      </c>
      <c r="B1488" t="s">
        <v>338</v>
      </c>
      <c r="C1488" s="1">
        <v>39533</v>
      </c>
      <c r="D1488" t="s">
        <v>170</v>
      </c>
      <c r="E1488" t="s">
        <v>67</v>
      </c>
      <c r="F1488" t="s">
        <v>101</v>
      </c>
      <c r="G1488" t="s">
        <v>39</v>
      </c>
      <c r="H1488" t="s">
        <v>141</v>
      </c>
      <c r="J1488" t="s">
        <v>339</v>
      </c>
      <c r="K1488" s="2">
        <v>9.5</v>
      </c>
      <c r="L1488">
        <v>30</v>
      </c>
      <c r="M1488">
        <f t="shared" si="23"/>
        <v>285</v>
      </c>
    </row>
    <row r="1489" spans="1:13">
      <c r="A1489" t="s">
        <v>337</v>
      </c>
      <c r="B1489" t="s">
        <v>338</v>
      </c>
      <c r="C1489" s="1">
        <v>39533</v>
      </c>
      <c r="D1489" t="s">
        <v>109</v>
      </c>
      <c r="E1489" t="s">
        <v>67</v>
      </c>
      <c r="F1489" t="s">
        <v>56</v>
      </c>
      <c r="G1489" t="s">
        <v>39</v>
      </c>
      <c r="H1489" t="s">
        <v>141</v>
      </c>
      <c r="J1489" t="s">
        <v>339</v>
      </c>
      <c r="K1489" s="2">
        <v>18</v>
      </c>
      <c r="L1489">
        <v>30</v>
      </c>
      <c r="M1489">
        <f t="shared" si="23"/>
        <v>540</v>
      </c>
    </row>
    <row r="1490" spans="1:13">
      <c r="A1490" t="s">
        <v>337</v>
      </c>
      <c r="B1490" t="s">
        <v>338</v>
      </c>
      <c r="C1490" s="1">
        <v>39544</v>
      </c>
      <c r="D1490" t="s">
        <v>117</v>
      </c>
      <c r="E1490" t="s">
        <v>53</v>
      </c>
      <c r="F1490" t="s">
        <v>118</v>
      </c>
      <c r="G1490" t="s">
        <v>39</v>
      </c>
      <c r="H1490" t="s">
        <v>141</v>
      </c>
      <c r="J1490" t="s">
        <v>339</v>
      </c>
      <c r="K1490" s="2">
        <v>21</v>
      </c>
      <c r="L1490">
        <v>25</v>
      </c>
      <c r="M1490">
        <f t="shared" si="23"/>
        <v>525</v>
      </c>
    </row>
    <row r="1491" spans="1:13">
      <c r="A1491" t="s">
        <v>337</v>
      </c>
      <c r="B1491" t="s">
        <v>338</v>
      </c>
      <c r="C1491" s="1">
        <v>39942</v>
      </c>
      <c r="D1491" t="s">
        <v>26</v>
      </c>
      <c r="E1491" t="s">
        <v>67</v>
      </c>
      <c r="F1491" t="s">
        <v>27</v>
      </c>
      <c r="G1491" t="s">
        <v>17</v>
      </c>
      <c r="H1491" t="s">
        <v>141</v>
      </c>
      <c r="J1491" t="s">
        <v>339</v>
      </c>
      <c r="K1491" s="2">
        <v>22</v>
      </c>
      <c r="L1491">
        <v>50</v>
      </c>
      <c r="M1491">
        <f t="shared" si="23"/>
        <v>1100</v>
      </c>
    </row>
    <row r="1492" spans="1:13">
      <c r="A1492" t="s">
        <v>337</v>
      </c>
      <c r="B1492" t="s">
        <v>338</v>
      </c>
      <c r="C1492" s="1">
        <v>39872</v>
      </c>
      <c r="D1492" t="s">
        <v>71</v>
      </c>
      <c r="E1492" t="s">
        <v>67</v>
      </c>
      <c r="F1492" t="s">
        <v>51</v>
      </c>
      <c r="G1492" t="s">
        <v>17</v>
      </c>
      <c r="H1492" t="s">
        <v>141</v>
      </c>
      <c r="J1492" t="s">
        <v>339</v>
      </c>
      <c r="K1492" s="2">
        <v>6.2</v>
      </c>
      <c r="L1492">
        <v>4</v>
      </c>
      <c r="M1492">
        <f t="shared" si="23"/>
        <v>24.8</v>
      </c>
    </row>
    <row r="1493" spans="1:13">
      <c r="A1493" t="s">
        <v>337</v>
      </c>
      <c r="B1493" t="s">
        <v>338</v>
      </c>
      <c r="C1493" s="1">
        <v>39544</v>
      </c>
      <c r="D1493" t="s">
        <v>87</v>
      </c>
      <c r="E1493" t="s">
        <v>53</v>
      </c>
      <c r="F1493" t="s">
        <v>25</v>
      </c>
      <c r="G1493" t="s">
        <v>39</v>
      </c>
      <c r="H1493" t="s">
        <v>141</v>
      </c>
      <c r="J1493" t="s">
        <v>339</v>
      </c>
      <c r="K1493" s="2">
        <v>30</v>
      </c>
      <c r="L1493">
        <v>60</v>
      </c>
      <c r="M1493">
        <f t="shared" si="23"/>
        <v>1800</v>
      </c>
    </row>
    <row r="1494" spans="1:13">
      <c r="A1494" t="s">
        <v>337</v>
      </c>
      <c r="B1494" t="s">
        <v>338</v>
      </c>
      <c r="C1494" s="1">
        <v>39653</v>
      </c>
      <c r="D1494" t="s">
        <v>133</v>
      </c>
      <c r="E1494" t="s">
        <v>89</v>
      </c>
      <c r="F1494" t="s">
        <v>134</v>
      </c>
      <c r="G1494" t="s">
        <v>17</v>
      </c>
      <c r="H1494" t="s">
        <v>141</v>
      </c>
      <c r="J1494" t="s">
        <v>339</v>
      </c>
      <c r="K1494" s="2">
        <v>7.7</v>
      </c>
      <c r="L1494">
        <v>25</v>
      </c>
      <c r="M1494">
        <f t="shared" si="23"/>
        <v>192.5</v>
      </c>
    </row>
    <row r="1495" spans="1:13">
      <c r="A1495" t="s">
        <v>337</v>
      </c>
      <c r="B1495" t="s">
        <v>338</v>
      </c>
      <c r="C1495" s="1">
        <v>39539</v>
      </c>
      <c r="D1495" t="s">
        <v>133</v>
      </c>
      <c r="E1495" t="s">
        <v>50</v>
      </c>
      <c r="F1495" t="s">
        <v>134</v>
      </c>
      <c r="G1495" t="s">
        <v>39</v>
      </c>
      <c r="H1495" t="s">
        <v>141</v>
      </c>
      <c r="J1495" t="s">
        <v>339</v>
      </c>
      <c r="K1495" s="2">
        <v>9.65</v>
      </c>
      <c r="L1495">
        <v>35</v>
      </c>
      <c r="M1495">
        <f t="shared" si="23"/>
        <v>337.75</v>
      </c>
    </row>
    <row r="1496" spans="1:13">
      <c r="A1496" t="s">
        <v>337</v>
      </c>
      <c r="B1496" t="s">
        <v>338</v>
      </c>
      <c r="C1496" s="1">
        <v>39501</v>
      </c>
      <c r="D1496" t="s">
        <v>38</v>
      </c>
      <c r="E1496" t="s">
        <v>21</v>
      </c>
      <c r="F1496" t="s">
        <v>29</v>
      </c>
      <c r="G1496" t="s">
        <v>39</v>
      </c>
      <c r="H1496" t="s">
        <v>141</v>
      </c>
      <c r="J1496" t="s">
        <v>339</v>
      </c>
      <c r="K1496" s="2">
        <v>49.3</v>
      </c>
      <c r="L1496">
        <v>6</v>
      </c>
      <c r="M1496">
        <f t="shared" si="23"/>
        <v>295.79999999999995</v>
      </c>
    </row>
    <row r="1497" spans="1:13">
      <c r="A1497" t="s">
        <v>337</v>
      </c>
      <c r="B1497" t="s">
        <v>338</v>
      </c>
      <c r="C1497" s="1">
        <v>39847</v>
      </c>
      <c r="D1497" t="s">
        <v>96</v>
      </c>
      <c r="E1497" t="s">
        <v>15</v>
      </c>
      <c r="F1497" t="s">
        <v>97</v>
      </c>
      <c r="G1497" t="s">
        <v>17</v>
      </c>
      <c r="H1497" t="s">
        <v>141</v>
      </c>
      <c r="J1497" t="s">
        <v>339</v>
      </c>
      <c r="K1497" s="2">
        <v>14.4</v>
      </c>
      <c r="L1497">
        <v>18</v>
      </c>
      <c r="M1497">
        <f t="shared" si="23"/>
        <v>259.2</v>
      </c>
    </row>
    <row r="1498" spans="1:13">
      <c r="A1498" t="s">
        <v>337</v>
      </c>
      <c r="B1498" t="s">
        <v>338</v>
      </c>
      <c r="C1498" s="1">
        <v>39565</v>
      </c>
      <c r="D1498" t="s">
        <v>96</v>
      </c>
      <c r="E1498" t="s">
        <v>67</v>
      </c>
      <c r="F1498" t="s">
        <v>97</v>
      </c>
      <c r="G1498" t="s">
        <v>39</v>
      </c>
      <c r="H1498" t="s">
        <v>141</v>
      </c>
      <c r="J1498" t="s">
        <v>339</v>
      </c>
      <c r="K1498" s="2">
        <v>18</v>
      </c>
      <c r="L1498">
        <v>50</v>
      </c>
      <c r="M1498">
        <f t="shared" si="23"/>
        <v>900</v>
      </c>
    </row>
    <row r="1499" spans="1:13">
      <c r="A1499" t="s">
        <v>337</v>
      </c>
      <c r="B1499" t="s">
        <v>338</v>
      </c>
      <c r="C1499" s="1">
        <v>39701</v>
      </c>
      <c r="D1499" t="s">
        <v>121</v>
      </c>
      <c r="E1499" t="s">
        <v>66</v>
      </c>
      <c r="F1499" t="s">
        <v>41</v>
      </c>
      <c r="G1499" t="s">
        <v>17</v>
      </c>
      <c r="H1499" t="s">
        <v>141</v>
      </c>
      <c r="J1499" t="s">
        <v>339</v>
      </c>
      <c r="K1499" s="2">
        <v>17.2</v>
      </c>
      <c r="L1499">
        <v>6</v>
      </c>
      <c r="M1499">
        <f t="shared" si="23"/>
        <v>103.19999999999999</v>
      </c>
    </row>
    <row r="1500" spans="1:13">
      <c r="A1500" t="s">
        <v>337</v>
      </c>
      <c r="B1500" t="s">
        <v>338</v>
      </c>
      <c r="C1500" s="1">
        <v>39501</v>
      </c>
      <c r="D1500" t="s">
        <v>148</v>
      </c>
      <c r="E1500" t="s">
        <v>21</v>
      </c>
      <c r="F1500" t="s">
        <v>16</v>
      </c>
      <c r="G1500" t="s">
        <v>39</v>
      </c>
      <c r="H1500" t="s">
        <v>141</v>
      </c>
      <c r="J1500" t="s">
        <v>339</v>
      </c>
      <c r="K1500" s="2">
        <v>24</v>
      </c>
      <c r="L1500">
        <v>30</v>
      </c>
      <c r="M1500">
        <f t="shared" si="23"/>
        <v>720</v>
      </c>
    </row>
    <row r="1501" spans="1:13">
      <c r="A1501" t="s">
        <v>337</v>
      </c>
      <c r="B1501" t="s">
        <v>338</v>
      </c>
      <c r="C1501" s="1">
        <v>39539</v>
      </c>
      <c r="D1501" t="s">
        <v>88</v>
      </c>
      <c r="E1501" t="s">
        <v>50</v>
      </c>
      <c r="F1501" t="s">
        <v>51</v>
      </c>
      <c r="G1501" t="s">
        <v>39</v>
      </c>
      <c r="H1501" t="s">
        <v>141</v>
      </c>
      <c r="J1501" t="s">
        <v>339</v>
      </c>
      <c r="K1501" s="2">
        <v>123.79</v>
      </c>
      <c r="L1501">
        <v>50</v>
      </c>
      <c r="M1501">
        <f t="shared" si="23"/>
        <v>6189.5</v>
      </c>
    </row>
    <row r="1502" spans="1:13">
      <c r="A1502" t="s">
        <v>337</v>
      </c>
      <c r="B1502" t="s">
        <v>338</v>
      </c>
      <c r="C1502" s="1">
        <v>39847</v>
      </c>
      <c r="D1502" t="s">
        <v>131</v>
      </c>
      <c r="E1502" t="s">
        <v>15</v>
      </c>
      <c r="F1502" t="s">
        <v>132</v>
      </c>
      <c r="G1502" t="s">
        <v>17</v>
      </c>
      <c r="H1502" t="s">
        <v>141</v>
      </c>
      <c r="J1502" t="s">
        <v>339</v>
      </c>
      <c r="K1502" s="2">
        <v>16.8</v>
      </c>
      <c r="L1502">
        <v>6</v>
      </c>
      <c r="M1502">
        <f t="shared" si="23"/>
        <v>100.80000000000001</v>
      </c>
    </row>
    <row r="1503" spans="1:13">
      <c r="A1503" t="s">
        <v>340</v>
      </c>
      <c r="B1503" t="s">
        <v>341</v>
      </c>
      <c r="C1503" s="1">
        <v>40107</v>
      </c>
      <c r="D1503" t="s">
        <v>32</v>
      </c>
      <c r="E1503" t="s">
        <v>15</v>
      </c>
      <c r="F1503" t="s">
        <v>33</v>
      </c>
      <c r="G1503" t="s">
        <v>17</v>
      </c>
      <c r="H1503" t="s">
        <v>167</v>
      </c>
      <c r="I1503" t="s">
        <v>342</v>
      </c>
      <c r="J1503" t="s">
        <v>343</v>
      </c>
      <c r="K1503" s="2">
        <v>32.799999999999997</v>
      </c>
      <c r="L1503">
        <v>3</v>
      </c>
      <c r="M1503">
        <f t="shared" si="23"/>
        <v>98.399999999999991</v>
      </c>
    </row>
    <row r="1504" spans="1:13">
      <c r="A1504" t="s">
        <v>340</v>
      </c>
      <c r="B1504" t="s">
        <v>341</v>
      </c>
      <c r="C1504" s="1">
        <v>39842</v>
      </c>
      <c r="D1504" t="s">
        <v>72</v>
      </c>
      <c r="E1504" t="s">
        <v>15</v>
      </c>
      <c r="F1504" t="s">
        <v>22</v>
      </c>
      <c r="G1504" t="s">
        <v>17</v>
      </c>
      <c r="H1504" t="s">
        <v>167</v>
      </c>
      <c r="I1504" t="s">
        <v>342</v>
      </c>
      <c r="J1504" t="s">
        <v>343</v>
      </c>
      <c r="K1504" s="2">
        <v>35.1</v>
      </c>
      <c r="L1504">
        <v>35</v>
      </c>
      <c r="M1504">
        <f t="shared" si="23"/>
        <v>1228.5</v>
      </c>
    </row>
    <row r="1505" spans="1:13">
      <c r="A1505" t="s">
        <v>340</v>
      </c>
      <c r="B1505" t="s">
        <v>341</v>
      </c>
      <c r="C1505" s="1">
        <v>39700</v>
      </c>
      <c r="D1505" t="s">
        <v>83</v>
      </c>
      <c r="E1505" t="s">
        <v>67</v>
      </c>
      <c r="F1505" t="s">
        <v>84</v>
      </c>
      <c r="G1505" t="s">
        <v>17</v>
      </c>
      <c r="H1505" t="s">
        <v>167</v>
      </c>
      <c r="I1505" t="s">
        <v>342</v>
      </c>
      <c r="J1505" t="s">
        <v>343</v>
      </c>
      <c r="K1505" s="2">
        <v>20.7</v>
      </c>
      <c r="L1505">
        <v>18</v>
      </c>
      <c r="M1505">
        <f t="shared" si="23"/>
        <v>372.59999999999997</v>
      </c>
    </row>
    <row r="1506" spans="1:13">
      <c r="A1506" t="s">
        <v>340</v>
      </c>
      <c r="B1506" t="s">
        <v>341</v>
      </c>
      <c r="C1506" s="1">
        <v>39696</v>
      </c>
      <c r="D1506" t="s">
        <v>121</v>
      </c>
      <c r="E1506" t="s">
        <v>24</v>
      </c>
      <c r="F1506" t="s">
        <v>41</v>
      </c>
      <c r="G1506" t="s">
        <v>17</v>
      </c>
      <c r="H1506" t="s">
        <v>167</v>
      </c>
      <c r="I1506" t="s">
        <v>342</v>
      </c>
      <c r="J1506" t="s">
        <v>343</v>
      </c>
      <c r="K1506" s="2">
        <v>17.2</v>
      </c>
      <c r="L1506">
        <v>50</v>
      </c>
      <c r="M1506">
        <f t="shared" si="23"/>
        <v>860</v>
      </c>
    </row>
    <row r="1507" spans="1:13">
      <c r="A1507" t="s">
        <v>340</v>
      </c>
      <c r="B1507" t="s">
        <v>341</v>
      </c>
      <c r="C1507" s="1">
        <v>39537</v>
      </c>
      <c r="D1507" t="s">
        <v>20</v>
      </c>
      <c r="E1507" t="s">
        <v>53</v>
      </c>
      <c r="F1507" t="s">
        <v>22</v>
      </c>
      <c r="G1507" t="s">
        <v>39</v>
      </c>
      <c r="H1507" t="s">
        <v>167</v>
      </c>
      <c r="I1507" t="s">
        <v>342</v>
      </c>
      <c r="J1507" t="s">
        <v>343</v>
      </c>
      <c r="K1507" s="2">
        <v>17.45</v>
      </c>
      <c r="L1507">
        <v>36</v>
      </c>
      <c r="M1507">
        <f t="shared" si="23"/>
        <v>628.19999999999993</v>
      </c>
    </row>
    <row r="1508" spans="1:13">
      <c r="A1508" t="s">
        <v>340</v>
      </c>
      <c r="B1508" t="s">
        <v>341</v>
      </c>
      <c r="C1508" s="1">
        <v>40086</v>
      </c>
      <c r="D1508" t="s">
        <v>88</v>
      </c>
      <c r="E1508" t="s">
        <v>103</v>
      </c>
      <c r="F1508" t="s">
        <v>51</v>
      </c>
      <c r="G1508" t="s">
        <v>17</v>
      </c>
      <c r="H1508" t="s">
        <v>167</v>
      </c>
      <c r="I1508" t="s">
        <v>342</v>
      </c>
      <c r="J1508" t="s">
        <v>343</v>
      </c>
      <c r="K1508" s="2">
        <v>123.79</v>
      </c>
      <c r="L1508">
        <v>10</v>
      </c>
      <c r="M1508">
        <f t="shared" si="23"/>
        <v>1237.9000000000001</v>
      </c>
    </row>
    <row r="1509" spans="1:13">
      <c r="A1509" t="s">
        <v>340</v>
      </c>
      <c r="B1509" t="s">
        <v>341</v>
      </c>
      <c r="C1509" s="1">
        <v>40096</v>
      </c>
      <c r="D1509" t="s">
        <v>71</v>
      </c>
      <c r="E1509" t="s">
        <v>103</v>
      </c>
      <c r="F1509" t="s">
        <v>51</v>
      </c>
      <c r="G1509" t="s">
        <v>17</v>
      </c>
      <c r="H1509" t="s">
        <v>167</v>
      </c>
      <c r="I1509" t="s">
        <v>342</v>
      </c>
      <c r="J1509" t="s">
        <v>343</v>
      </c>
      <c r="K1509" s="2">
        <v>7.75</v>
      </c>
      <c r="L1509">
        <v>20</v>
      </c>
      <c r="M1509">
        <f t="shared" si="23"/>
        <v>155</v>
      </c>
    </row>
    <row r="1510" spans="1:13">
      <c r="A1510" t="s">
        <v>340</v>
      </c>
      <c r="B1510" t="s">
        <v>341</v>
      </c>
      <c r="C1510" s="1">
        <v>39700</v>
      </c>
      <c r="D1510" t="s">
        <v>86</v>
      </c>
      <c r="E1510" t="s">
        <v>67</v>
      </c>
      <c r="F1510" t="s">
        <v>54</v>
      </c>
      <c r="G1510" t="s">
        <v>17</v>
      </c>
      <c r="H1510" t="s">
        <v>167</v>
      </c>
      <c r="I1510" t="s">
        <v>342</v>
      </c>
      <c r="J1510" t="s">
        <v>343</v>
      </c>
      <c r="K1510" s="2">
        <v>27.2</v>
      </c>
      <c r="L1510">
        <v>6</v>
      </c>
      <c r="M1510">
        <f t="shared" si="23"/>
        <v>163.19999999999999</v>
      </c>
    </row>
    <row r="1511" spans="1:13">
      <c r="A1511" t="s">
        <v>340</v>
      </c>
      <c r="B1511" t="s">
        <v>341</v>
      </c>
      <c r="C1511" s="1">
        <v>39700</v>
      </c>
      <c r="D1511" t="s">
        <v>32</v>
      </c>
      <c r="E1511" t="s">
        <v>67</v>
      </c>
      <c r="F1511" t="s">
        <v>33</v>
      </c>
      <c r="G1511" t="s">
        <v>17</v>
      </c>
      <c r="H1511" t="s">
        <v>167</v>
      </c>
      <c r="I1511" t="s">
        <v>342</v>
      </c>
      <c r="J1511" t="s">
        <v>343</v>
      </c>
      <c r="K1511" s="2">
        <v>26.2</v>
      </c>
      <c r="L1511">
        <v>20</v>
      </c>
      <c r="M1511">
        <f t="shared" si="23"/>
        <v>524</v>
      </c>
    </row>
    <row r="1512" spans="1:13">
      <c r="A1512" t="s">
        <v>340</v>
      </c>
      <c r="B1512" t="s">
        <v>341</v>
      </c>
      <c r="C1512" s="1">
        <v>39700</v>
      </c>
      <c r="D1512" t="s">
        <v>116</v>
      </c>
      <c r="E1512" t="s">
        <v>67</v>
      </c>
      <c r="F1512" t="s">
        <v>22</v>
      </c>
      <c r="G1512" t="s">
        <v>17</v>
      </c>
      <c r="H1512" t="s">
        <v>167</v>
      </c>
      <c r="I1512" t="s">
        <v>342</v>
      </c>
      <c r="J1512" t="s">
        <v>343</v>
      </c>
      <c r="K1512" s="2">
        <v>12</v>
      </c>
      <c r="L1512">
        <v>30</v>
      </c>
      <c r="M1512">
        <f t="shared" si="23"/>
        <v>360</v>
      </c>
    </row>
    <row r="1513" spans="1:13">
      <c r="A1513" t="s">
        <v>340</v>
      </c>
      <c r="B1513" t="s">
        <v>341</v>
      </c>
      <c r="C1513" s="1">
        <v>39537</v>
      </c>
      <c r="D1513" t="s">
        <v>42</v>
      </c>
      <c r="E1513" t="s">
        <v>53</v>
      </c>
      <c r="F1513" t="s">
        <v>22</v>
      </c>
      <c r="G1513" t="s">
        <v>39</v>
      </c>
      <c r="H1513" t="s">
        <v>167</v>
      </c>
      <c r="I1513" t="s">
        <v>342</v>
      </c>
      <c r="J1513" t="s">
        <v>343</v>
      </c>
      <c r="K1513" s="2">
        <v>62.5</v>
      </c>
      <c r="L1513">
        <v>8</v>
      </c>
      <c r="M1513">
        <f t="shared" si="23"/>
        <v>500</v>
      </c>
    </row>
    <row r="1514" spans="1:13">
      <c r="A1514" t="s">
        <v>340</v>
      </c>
      <c r="B1514" t="s">
        <v>341</v>
      </c>
      <c r="C1514" s="1">
        <v>39537</v>
      </c>
      <c r="D1514" t="s">
        <v>138</v>
      </c>
      <c r="E1514" t="s">
        <v>53</v>
      </c>
      <c r="F1514" t="s">
        <v>76</v>
      </c>
      <c r="G1514" t="s">
        <v>39</v>
      </c>
      <c r="H1514" t="s">
        <v>167</v>
      </c>
      <c r="I1514" t="s">
        <v>342</v>
      </c>
      <c r="J1514" t="s">
        <v>343</v>
      </c>
      <c r="K1514" s="2">
        <v>32</v>
      </c>
      <c r="L1514">
        <v>35</v>
      </c>
      <c r="M1514">
        <f t="shared" si="23"/>
        <v>1120</v>
      </c>
    </row>
    <row r="1515" spans="1:13">
      <c r="A1515" t="s">
        <v>340</v>
      </c>
      <c r="B1515" t="s">
        <v>341</v>
      </c>
      <c r="C1515" s="1">
        <v>39696</v>
      </c>
      <c r="D1515" t="s">
        <v>36</v>
      </c>
      <c r="E1515" t="s">
        <v>89</v>
      </c>
      <c r="F1515" t="s">
        <v>37</v>
      </c>
      <c r="G1515" t="s">
        <v>17</v>
      </c>
      <c r="H1515" t="s">
        <v>167</v>
      </c>
      <c r="I1515" t="s">
        <v>342</v>
      </c>
      <c r="J1515" t="s">
        <v>343</v>
      </c>
      <c r="K1515" s="2">
        <v>15.2</v>
      </c>
      <c r="L1515">
        <v>40</v>
      </c>
      <c r="M1515">
        <f t="shared" si="23"/>
        <v>608</v>
      </c>
    </row>
    <row r="1516" spans="1:13">
      <c r="A1516" t="s">
        <v>340</v>
      </c>
      <c r="B1516" t="s">
        <v>341</v>
      </c>
      <c r="C1516" s="1">
        <v>40096</v>
      </c>
      <c r="D1516" t="s">
        <v>95</v>
      </c>
      <c r="E1516" t="s">
        <v>103</v>
      </c>
      <c r="F1516" t="s">
        <v>27</v>
      </c>
      <c r="G1516" t="s">
        <v>17</v>
      </c>
      <c r="H1516" t="s">
        <v>167</v>
      </c>
      <c r="I1516" t="s">
        <v>342</v>
      </c>
      <c r="J1516" t="s">
        <v>343</v>
      </c>
      <c r="K1516" s="2">
        <v>21.05</v>
      </c>
      <c r="L1516">
        <v>40</v>
      </c>
      <c r="M1516">
        <f t="shared" si="23"/>
        <v>842</v>
      </c>
    </row>
    <row r="1517" spans="1:13">
      <c r="A1517" t="s">
        <v>340</v>
      </c>
      <c r="B1517" t="s">
        <v>341</v>
      </c>
      <c r="C1517" s="1">
        <v>40086</v>
      </c>
      <c r="D1517" t="s">
        <v>46</v>
      </c>
      <c r="E1517" t="s">
        <v>103</v>
      </c>
      <c r="F1517" t="s">
        <v>47</v>
      </c>
      <c r="G1517" t="s">
        <v>17</v>
      </c>
      <c r="H1517" t="s">
        <v>167</v>
      </c>
      <c r="I1517" t="s">
        <v>342</v>
      </c>
      <c r="J1517" t="s">
        <v>343</v>
      </c>
      <c r="K1517" s="2">
        <v>97</v>
      </c>
      <c r="L1517">
        <v>50</v>
      </c>
      <c r="M1517">
        <f t="shared" si="23"/>
        <v>4850</v>
      </c>
    </row>
    <row r="1518" spans="1:13">
      <c r="A1518" t="s">
        <v>340</v>
      </c>
      <c r="B1518" t="s">
        <v>341</v>
      </c>
      <c r="C1518" s="1">
        <v>39696</v>
      </c>
      <c r="D1518" t="s">
        <v>38</v>
      </c>
      <c r="E1518" t="s">
        <v>89</v>
      </c>
      <c r="F1518" t="s">
        <v>29</v>
      </c>
      <c r="G1518" t="s">
        <v>17</v>
      </c>
      <c r="H1518" t="s">
        <v>167</v>
      </c>
      <c r="I1518" t="s">
        <v>342</v>
      </c>
      <c r="J1518" t="s">
        <v>343</v>
      </c>
      <c r="K1518" s="2">
        <v>39.4</v>
      </c>
      <c r="L1518">
        <v>15</v>
      </c>
      <c r="M1518">
        <f t="shared" si="23"/>
        <v>591</v>
      </c>
    </row>
    <row r="1519" spans="1:13">
      <c r="A1519" t="s">
        <v>340</v>
      </c>
      <c r="B1519" t="s">
        <v>341</v>
      </c>
      <c r="C1519" s="1">
        <v>39696</v>
      </c>
      <c r="D1519" t="s">
        <v>52</v>
      </c>
      <c r="E1519" t="s">
        <v>89</v>
      </c>
      <c r="F1519" t="s">
        <v>54</v>
      </c>
      <c r="G1519" t="s">
        <v>17</v>
      </c>
      <c r="H1519" t="s">
        <v>167</v>
      </c>
      <c r="I1519" t="s">
        <v>342</v>
      </c>
      <c r="J1519" t="s">
        <v>343</v>
      </c>
      <c r="K1519" s="2">
        <v>44</v>
      </c>
      <c r="L1519">
        <v>30</v>
      </c>
      <c r="M1519">
        <f t="shared" si="23"/>
        <v>1320</v>
      </c>
    </row>
    <row r="1520" spans="1:13">
      <c r="A1520" t="s">
        <v>340</v>
      </c>
      <c r="B1520" t="s">
        <v>341</v>
      </c>
      <c r="C1520" s="1">
        <v>39696</v>
      </c>
      <c r="D1520" t="s">
        <v>68</v>
      </c>
      <c r="E1520" t="s">
        <v>24</v>
      </c>
      <c r="F1520" t="s">
        <v>69</v>
      </c>
      <c r="G1520" t="s">
        <v>17</v>
      </c>
      <c r="H1520" t="s">
        <v>167</v>
      </c>
      <c r="I1520" t="s">
        <v>342</v>
      </c>
      <c r="J1520" t="s">
        <v>343</v>
      </c>
      <c r="K1520" s="2">
        <v>10.6</v>
      </c>
      <c r="L1520">
        <v>80</v>
      </c>
      <c r="M1520">
        <f t="shared" si="23"/>
        <v>848</v>
      </c>
    </row>
    <row r="1521" spans="1:13">
      <c r="A1521" t="s">
        <v>340</v>
      </c>
      <c r="B1521" t="s">
        <v>341</v>
      </c>
      <c r="C1521" s="1">
        <v>39696</v>
      </c>
      <c r="D1521" t="s">
        <v>57</v>
      </c>
      <c r="E1521" t="s">
        <v>89</v>
      </c>
      <c r="F1521" t="s">
        <v>58</v>
      </c>
      <c r="G1521" t="s">
        <v>17</v>
      </c>
      <c r="H1521" t="s">
        <v>167</v>
      </c>
      <c r="I1521" t="s">
        <v>342</v>
      </c>
      <c r="J1521" t="s">
        <v>343</v>
      </c>
      <c r="K1521" s="2">
        <v>15.2</v>
      </c>
      <c r="L1521">
        <v>40</v>
      </c>
      <c r="M1521">
        <f t="shared" si="23"/>
        <v>608</v>
      </c>
    </row>
    <row r="1522" spans="1:13">
      <c r="A1522" t="s">
        <v>340</v>
      </c>
      <c r="B1522" t="s">
        <v>341</v>
      </c>
      <c r="C1522" s="1">
        <v>40086</v>
      </c>
      <c r="D1522" t="s">
        <v>57</v>
      </c>
      <c r="E1522" t="s">
        <v>103</v>
      </c>
      <c r="F1522" t="s">
        <v>58</v>
      </c>
      <c r="G1522" t="s">
        <v>17</v>
      </c>
      <c r="H1522" t="s">
        <v>167</v>
      </c>
      <c r="I1522" t="s">
        <v>342</v>
      </c>
      <c r="J1522" t="s">
        <v>343</v>
      </c>
      <c r="K1522" s="2">
        <v>19</v>
      </c>
      <c r="L1522">
        <v>6</v>
      </c>
      <c r="M1522">
        <f t="shared" si="23"/>
        <v>114</v>
      </c>
    </row>
    <row r="1523" spans="1:13">
      <c r="A1523" t="s">
        <v>340</v>
      </c>
      <c r="B1523" t="s">
        <v>341</v>
      </c>
      <c r="C1523" s="1">
        <v>40107</v>
      </c>
      <c r="D1523" t="s">
        <v>62</v>
      </c>
      <c r="E1523" t="s">
        <v>15</v>
      </c>
      <c r="F1523" t="s">
        <v>63</v>
      </c>
      <c r="G1523" t="s">
        <v>17</v>
      </c>
      <c r="H1523" t="s">
        <v>167</v>
      </c>
      <c r="I1523" t="s">
        <v>342</v>
      </c>
      <c r="J1523" t="s">
        <v>343</v>
      </c>
      <c r="K1523" s="2">
        <v>38</v>
      </c>
      <c r="L1523">
        <v>30</v>
      </c>
      <c r="M1523">
        <f t="shared" si="23"/>
        <v>1140</v>
      </c>
    </row>
    <row r="1524" spans="1:13">
      <c r="A1524" t="s">
        <v>340</v>
      </c>
      <c r="B1524" t="s">
        <v>341</v>
      </c>
      <c r="C1524" s="1">
        <v>39568</v>
      </c>
      <c r="D1524" t="s">
        <v>133</v>
      </c>
      <c r="E1524" t="s">
        <v>15</v>
      </c>
      <c r="F1524" t="s">
        <v>134</v>
      </c>
      <c r="G1524" t="s">
        <v>39</v>
      </c>
      <c r="H1524" t="s">
        <v>167</v>
      </c>
      <c r="I1524" t="s">
        <v>342</v>
      </c>
      <c r="J1524" t="s">
        <v>343</v>
      </c>
      <c r="K1524" s="2">
        <v>9.65</v>
      </c>
      <c r="L1524">
        <v>30</v>
      </c>
      <c r="M1524">
        <f t="shared" si="23"/>
        <v>289.5</v>
      </c>
    </row>
    <row r="1525" spans="1:13">
      <c r="A1525" t="s">
        <v>340</v>
      </c>
      <c r="B1525" t="s">
        <v>341</v>
      </c>
      <c r="C1525" s="1">
        <v>39710</v>
      </c>
      <c r="D1525" t="s">
        <v>94</v>
      </c>
      <c r="E1525" t="s">
        <v>15</v>
      </c>
      <c r="F1525" t="s">
        <v>74</v>
      </c>
      <c r="G1525" t="s">
        <v>17</v>
      </c>
      <c r="H1525" t="s">
        <v>167</v>
      </c>
      <c r="I1525" t="s">
        <v>342</v>
      </c>
      <c r="J1525" t="s">
        <v>343</v>
      </c>
      <c r="K1525" s="2">
        <v>36.799999999999997</v>
      </c>
      <c r="L1525">
        <v>20</v>
      </c>
      <c r="M1525">
        <f t="shared" si="23"/>
        <v>736</v>
      </c>
    </row>
    <row r="1526" spans="1:13">
      <c r="A1526" t="s">
        <v>340</v>
      </c>
      <c r="B1526" t="s">
        <v>341</v>
      </c>
      <c r="C1526" s="1">
        <v>40052</v>
      </c>
      <c r="D1526" t="s">
        <v>121</v>
      </c>
      <c r="E1526" t="s">
        <v>103</v>
      </c>
      <c r="F1526" t="s">
        <v>41</v>
      </c>
      <c r="G1526" t="s">
        <v>17</v>
      </c>
      <c r="H1526" t="s">
        <v>167</v>
      </c>
      <c r="I1526" t="s">
        <v>342</v>
      </c>
      <c r="J1526" t="s">
        <v>343</v>
      </c>
      <c r="K1526" s="2">
        <v>21.5</v>
      </c>
      <c r="L1526">
        <v>30</v>
      </c>
      <c r="M1526">
        <f t="shared" si="23"/>
        <v>645</v>
      </c>
    </row>
    <row r="1527" spans="1:13">
      <c r="A1527" t="s">
        <v>340</v>
      </c>
      <c r="B1527" t="s">
        <v>341</v>
      </c>
      <c r="C1527" s="1">
        <v>39710</v>
      </c>
      <c r="D1527" t="s">
        <v>121</v>
      </c>
      <c r="E1527" t="s">
        <v>15</v>
      </c>
      <c r="F1527" t="s">
        <v>41</v>
      </c>
      <c r="G1527" t="s">
        <v>17</v>
      </c>
      <c r="H1527" t="s">
        <v>167</v>
      </c>
      <c r="I1527" t="s">
        <v>342</v>
      </c>
      <c r="J1527" t="s">
        <v>343</v>
      </c>
      <c r="K1527" s="2">
        <v>17.2</v>
      </c>
      <c r="L1527">
        <v>3</v>
      </c>
      <c r="M1527">
        <f t="shared" si="23"/>
        <v>51.599999999999994</v>
      </c>
    </row>
    <row r="1528" spans="1:13">
      <c r="A1528" t="s">
        <v>340</v>
      </c>
      <c r="B1528" t="s">
        <v>341</v>
      </c>
      <c r="C1528" s="1">
        <v>39504</v>
      </c>
      <c r="D1528" t="s">
        <v>88</v>
      </c>
      <c r="E1528" t="s">
        <v>53</v>
      </c>
      <c r="F1528" t="s">
        <v>51</v>
      </c>
      <c r="G1528" t="s">
        <v>39</v>
      </c>
      <c r="H1528" t="s">
        <v>167</v>
      </c>
      <c r="I1528" t="s">
        <v>342</v>
      </c>
      <c r="J1528" t="s">
        <v>343</v>
      </c>
      <c r="K1528" s="2">
        <v>123.79</v>
      </c>
      <c r="L1528">
        <v>60</v>
      </c>
      <c r="M1528">
        <f t="shared" si="23"/>
        <v>7427.4000000000005</v>
      </c>
    </row>
    <row r="1529" spans="1:13">
      <c r="A1529" t="s">
        <v>340</v>
      </c>
      <c r="B1529" t="s">
        <v>341</v>
      </c>
      <c r="C1529" s="1">
        <v>40052</v>
      </c>
      <c r="D1529" t="s">
        <v>111</v>
      </c>
      <c r="E1529" t="s">
        <v>103</v>
      </c>
      <c r="F1529" t="s">
        <v>37</v>
      </c>
      <c r="G1529" t="s">
        <v>17</v>
      </c>
      <c r="H1529" t="s">
        <v>167</v>
      </c>
      <c r="I1529" t="s">
        <v>342</v>
      </c>
      <c r="J1529" t="s">
        <v>343</v>
      </c>
      <c r="K1529" s="2">
        <v>18</v>
      </c>
      <c r="L1529">
        <v>15</v>
      </c>
      <c r="M1529">
        <f t="shared" si="23"/>
        <v>270</v>
      </c>
    </row>
    <row r="1530" spans="1:13">
      <c r="A1530" t="s">
        <v>340</v>
      </c>
      <c r="B1530" t="s">
        <v>341</v>
      </c>
      <c r="C1530" s="1">
        <v>39973</v>
      </c>
      <c r="D1530" t="s">
        <v>85</v>
      </c>
      <c r="E1530" t="s">
        <v>21</v>
      </c>
      <c r="F1530" t="s">
        <v>33</v>
      </c>
      <c r="G1530" t="s">
        <v>17</v>
      </c>
      <c r="H1530" t="s">
        <v>167</v>
      </c>
      <c r="I1530" t="s">
        <v>342</v>
      </c>
      <c r="J1530" t="s">
        <v>343</v>
      </c>
      <c r="K1530" s="2">
        <v>53</v>
      </c>
      <c r="L1530">
        <v>3</v>
      </c>
      <c r="M1530">
        <f t="shared" si="23"/>
        <v>159</v>
      </c>
    </row>
    <row r="1531" spans="1:13">
      <c r="A1531" t="s">
        <v>340</v>
      </c>
      <c r="B1531" t="s">
        <v>341</v>
      </c>
      <c r="C1531" s="1">
        <v>39927</v>
      </c>
      <c r="D1531" t="s">
        <v>110</v>
      </c>
      <c r="E1531" t="s">
        <v>53</v>
      </c>
      <c r="F1531" t="s">
        <v>74</v>
      </c>
      <c r="G1531" t="s">
        <v>17</v>
      </c>
      <c r="H1531" t="s">
        <v>167</v>
      </c>
      <c r="I1531" t="s">
        <v>342</v>
      </c>
      <c r="J1531" t="s">
        <v>343</v>
      </c>
      <c r="K1531" s="2">
        <v>14</v>
      </c>
      <c r="L1531">
        <v>20</v>
      </c>
      <c r="M1531">
        <f t="shared" si="23"/>
        <v>280</v>
      </c>
    </row>
    <row r="1532" spans="1:13">
      <c r="A1532" t="s">
        <v>340</v>
      </c>
      <c r="B1532" t="s">
        <v>341</v>
      </c>
      <c r="C1532" s="1">
        <v>40065</v>
      </c>
      <c r="D1532" t="s">
        <v>68</v>
      </c>
      <c r="E1532" t="s">
        <v>50</v>
      </c>
      <c r="F1532" t="s">
        <v>69</v>
      </c>
      <c r="G1532" t="s">
        <v>17</v>
      </c>
      <c r="H1532" t="s">
        <v>167</v>
      </c>
      <c r="I1532" t="s">
        <v>342</v>
      </c>
      <c r="J1532" t="s">
        <v>343</v>
      </c>
      <c r="K1532" s="2">
        <v>13.25</v>
      </c>
      <c r="L1532">
        <v>49</v>
      </c>
      <c r="M1532">
        <f t="shared" si="23"/>
        <v>649.25</v>
      </c>
    </row>
    <row r="1533" spans="1:13">
      <c r="A1533" t="s">
        <v>340</v>
      </c>
      <c r="B1533" t="s">
        <v>341</v>
      </c>
      <c r="C1533" s="1">
        <v>40099</v>
      </c>
      <c r="D1533" t="s">
        <v>96</v>
      </c>
      <c r="E1533" t="s">
        <v>89</v>
      </c>
      <c r="F1533" t="s">
        <v>97</v>
      </c>
      <c r="G1533" t="s">
        <v>17</v>
      </c>
      <c r="H1533" t="s">
        <v>167</v>
      </c>
      <c r="I1533" t="s">
        <v>342</v>
      </c>
      <c r="J1533" t="s">
        <v>343</v>
      </c>
      <c r="K1533" s="2">
        <v>18</v>
      </c>
      <c r="L1533">
        <v>35</v>
      </c>
      <c r="M1533">
        <f t="shared" si="23"/>
        <v>630</v>
      </c>
    </row>
    <row r="1534" spans="1:13">
      <c r="A1534" t="s">
        <v>340</v>
      </c>
      <c r="B1534" t="s">
        <v>341</v>
      </c>
      <c r="C1534" s="1">
        <v>39568</v>
      </c>
      <c r="D1534" t="s">
        <v>59</v>
      </c>
      <c r="E1534" t="s">
        <v>15</v>
      </c>
      <c r="F1534" t="s">
        <v>45</v>
      </c>
      <c r="G1534" t="s">
        <v>39</v>
      </c>
      <c r="H1534" t="s">
        <v>167</v>
      </c>
      <c r="I1534" t="s">
        <v>342</v>
      </c>
      <c r="J1534" t="s">
        <v>343</v>
      </c>
      <c r="K1534" s="2">
        <v>14</v>
      </c>
      <c r="L1534">
        <v>30</v>
      </c>
      <c r="M1534">
        <f t="shared" si="23"/>
        <v>420</v>
      </c>
    </row>
    <row r="1535" spans="1:13">
      <c r="A1535" t="s">
        <v>340</v>
      </c>
      <c r="B1535" t="s">
        <v>341</v>
      </c>
      <c r="C1535" s="1">
        <v>40052</v>
      </c>
      <c r="D1535" t="s">
        <v>49</v>
      </c>
      <c r="E1535" t="s">
        <v>103</v>
      </c>
      <c r="F1535" t="s">
        <v>51</v>
      </c>
      <c r="G1535" t="s">
        <v>17</v>
      </c>
      <c r="H1535" t="s">
        <v>167</v>
      </c>
      <c r="I1535" t="s">
        <v>342</v>
      </c>
      <c r="J1535" t="s">
        <v>343</v>
      </c>
      <c r="K1535" s="2">
        <v>13</v>
      </c>
      <c r="L1535">
        <v>35</v>
      </c>
      <c r="M1535">
        <f t="shared" si="23"/>
        <v>455</v>
      </c>
    </row>
    <row r="1536" spans="1:13">
      <c r="A1536" t="s">
        <v>340</v>
      </c>
      <c r="B1536" t="s">
        <v>341</v>
      </c>
      <c r="C1536" s="1">
        <v>39927</v>
      </c>
      <c r="D1536" t="s">
        <v>133</v>
      </c>
      <c r="E1536" t="s">
        <v>53</v>
      </c>
      <c r="F1536" t="s">
        <v>134</v>
      </c>
      <c r="G1536" t="s">
        <v>17</v>
      </c>
      <c r="H1536" t="s">
        <v>167</v>
      </c>
      <c r="I1536" t="s">
        <v>342</v>
      </c>
      <c r="J1536" t="s">
        <v>343</v>
      </c>
      <c r="K1536" s="2">
        <v>9.65</v>
      </c>
      <c r="L1536">
        <v>80</v>
      </c>
      <c r="M1536">
        <f t="shared" si="23"/>
        <v>772</v>
      </c>
    </row>
    <row r="1537" spans="1:13">
      <c r="A1537" t="s">
        <v>340</v>
      </c>
      <c r="B1537" t="s">
        <v>341</v>
      </c>
      <c r="C1537" s="1">
        <v>40052</v>
      </c>
      <c r="D1537" t="s">
        <v>102</v>
      </c>
      <c r="E1537" t="s">
        <v>103</v>
      </c>
      <c r="F1537" t="s">
        <v>47</v>
      </c>
      <c r="G1537" t="s">
        <v>17</v>
      </c>
      <c r="H1537" t="s">
        <v>167</v>
      </c>
      <c r="I1537" t="s">
        <v>342</v>
      </c>
      <c r="J1537" t="s">
        <v>343</v>
      </c>
      <c r="K1537" s="2">
        <v>31</v>
      </c>
      <c r="L1537">
        <v>18</v>
      </c>
      <c r="M1537">
        <f t="shared" si="23"/>
        <v>558</v>
      </c>
    </row>
    <row r="1538" spans="1:13">
      <c r="A1538" t="s">
        <v>340</v>
      </c>
      <c r="B1538" t="s">
        <v>341</v>
      </c>
      <c r="C1538" s="1">
        <v>40099</v>
      </c>
      <c r="D1538" t="s">
        <v>121</v>
      </c>
      <c r="E1538" t="s">
        <v>89</v>
      </c>
      <c r="F1538" t="s">
        <v>41</v>
      </c>
      <c r="G1538" t="s">
        <v>17</v>
      </c>
      <c r="H1538" t="s">
        <v>167</v>
      </c>
      <c r="I1538" t="s">
        <v>342</v>
      </c>
      <c r="J1538" t="s">
        <v>343</v>
      </c>
      <c r="K1538" s="2">
        <v>21.5</v>
      </c>
      <c r="L1538">
        <v>20</v>
      </c>
      <c r="M1538">
        <f t="shared" si="23"/>
        <v>430</v>
      </c>
    </row>
    <row r="1539" spans="1:13">
      <c r="A1539" t="s">
        <v>340</v>
      </c>
      <c r="B1539" t="s">
        <v>341</v>
      </c>
      <c r="C1539" s="1">
        <v>40099</v>
      </c>
      <c r="D1539" t="s">
        <v>52</v>
      </c>
      <c r="E1539" t="s">
        <v>89</v>
      </c>
      <c r="F1539" t="s">
        <v>54</v>
      </c>
      <c r="G1539" t="s">
        <v>17</v>
      </c>
      <c r="H1539" t="s">
        <v>167</v>
      </c>
      <c r="I1539" t="s">
        <v>342</v>
      </c>
      <c r="J1539" t="s">
        <v>343</v>
      </c>
      <c r="K1539" s="2">
        <v>55</v>
      </c>
      <c r="L1539">
        <v>42</v>
      </c>
      <c r="M1539">
        <f t="shared" ref="M1539:M1602" si="24">K1539*L1539</f>
        <v>2310</v>
      </c>
    </row>
    <row r="1540" spans="1:13">
      <c r="A1540" t="s">
        <v>340</v>
      </c>
      <c r="B1540" t="s">
        <v>341</v>
      </c>
      <c r="C1540" s="1">
        <v>39743</v>
      </c>
      <c r="D1540" t="s">
        <v>85</v>
      </c>
      <c r="E1540" t="s">
        <v>50</v>
      </c>
      <c r="F1540" t="s">
        <v>33</v>
      </c>
      <c r="G1540" t="s">
        <v>17</v>
      </c>
      <c r="H1540" t="s">
        <v>167</v>
      </c>
      <c r="I1540" t="s">
        <v>342</v>
      </c>
      <c r="J1540" t="s">
        <v>343</v>
      </c>
      <c r="K1540" s="2">
        <v>42.4</v>
      </c>
      <c r="L1540">
        <v>48</v>
      </c>
      <c r="M1540">
        <f t="shared" si="24"/>
        <v>2035.1999999999998</v>
      </c>
    </row>
    <row r="1541" spans="1:13">
      <c r="A1541" t="s">
        <v>340</v>
      </c>
      <c r="B1541" t="s">
        <v>341</v>
      </c>
      <c r="C1541" s="1">
        <v>40065</v>
      </c>
      <c r="D1541" t="s">
        <v>109</v>
      </c>
      <c r="E1541" t="s">
        <v>50</v>
      </c>
      <c r="F1541" t="s">
        <v>56</v>
      </c>
      <c r="G1541" t="s">
        <v>17</v>
      </c>
      <c r="H1541" t="s">
        <v>167</v>
      </c>
      <c r="I1541" t="s">
        <v>342</v>
      </c>
      <c r="J1541" t="s">
        <v>343</v>
      </c>
      <c r="K1541" s="2">
        <v>18</v>
      </c>
      <c r="L1541">
        <v>3</v>
      </c>
      <c r="M1541">
        <f t="shared" si="24"/>
        <v>54</v>
      </c>
    </row>
    <row r="1542" spans="1:13">
      <c r="A1542" t="s">
        <v>340</v>
      </c>
      <c r="B1542" t="s">
        <v>341</v>
      </c>
      <c r="C1542" s="1">
        <v>39743</v>
      </c>
      <c r="D1542" t="s">
        <v>138</v>
      </c>
      <c r="E1542" t="s">
        <v>50</v>
      </c>
      <c r="F1542" t="s">
        <v>76</v>
      </c>
      <c r="G1542" t="s">
        <v>17</v>
      </c>
      <c r="H1542" t="s">
        <v>167</v>
      </c>
      <c r="I1542" t="s">
        <v>342</v>
      </c>
      <c r="J1542" t="s">
        <v>343</v>
      </c>
      <c r="K1542" s="2">
        <v>25.6</v>
      </c>
      <c r="L1542">
        <v>6</v>
      </c>
      <c r="M1542">
        <f t="shared" si="24"/>
        <v>153.60000000000002</v>
      </c>
    </row>
    <row r="1543" spans="1:13">
      <c r="A1543" t="s">
        <v>340</v>
      </c>
      <c r="B1543" t="s">
        <v>341</v>
      </c>
      <c r="C1543" s="1">
        <v>39927</v>
      </c>
      <c r="D1543" t="s">
        <v>42</v>
      </c>
      <c r="E1543" t="s">
        <v>53</v>
      </c>
      <c r="F1543" t="s">
        <v>22</v>
      </c>
      <c r="G1543" t="s">
        <v>17</v>
      </c>
      <c r="H1543" t="s">
        <v>167</v>
      </c>
      <c r="I1543" t="s">
        <v>342</v>
      </c>
      <c r="J1543" t="s">
        <v>343</v>
      </c>
      <c r="K1543" s="2">
        <v>62.5</v>
      </c>
      <c r="L1543">
        <v>25</v>
      </c>
      <c r="M1543">
        <f t="shared" si="24"/>
        <v>1562.5</v>
      </c>
    </row>
    <row r="1544" spans="1:13">
      <c r="A1544" t="s">
        <v>340</v>
      </c>
      <c r="B1544" t="s">
        <v>341</v>
      </c>
      <c r="C1544" s="1">
        <v>39743</v>
      </c>
      <c r="D1544" t="s">
        <v>137</v>
      </c>
      <c r="E1544" t="s">
        <v>50</v>
      </c>
      <c r="F1544" t="s">
        <v>76</v>
      </c>
      <c r="G1544" t="s">
        <v>17</v>
      </c>
      <c r="H1544" t="s">
        <v>167</v>
      </c>
      <c r="I1544" t="s">
        <v>342</v>
      </c>
      <c r="J1544" t="s">
        <v>343</v>
      </c>
      <c r="K1544" s="2">
        <v>10</v>
      </c>
      <c r="L1544">
        <v>25</v>
      </c>
      <c r="M1544">
        <f t="shared" si="24"/>
        <v>250</v>
      </c>
    </row>
    <row r="1545" spans="1:13">
      <c r="A1545" t="s">
        <v>340</v>
      </c>
      <c r="B1545" t="s">
        <v>341</v>
      </c>
      <c r="C1545" s="1">
        <v>39743</v>
      </c>
      <c r="D1545" t="s">
        <v>36</v>
      </c>
      <c r="E1545" t="s">
        <v>50</v>
      </c>
      <c r="F1545" t="s">
        <v>37</v>
      </c>
      <c r="G1545" t="s">
        <v>17</v>
      </c>
      <c r="H1545" t="s">
        <v>167</v>
      </c>
      <c r="I1545" t="s">
        <v>342</v>
      </c>
      <c r="J1545" t="s">
        <v>343</v>
      </c>
      <c r="K1545" s="2">
        <v>15.2</v>
      </c>
      <c r="L1545">
        <v>7</v>
      </c>
      <c r="M1545">
        <f t="shared" si="24"/>
        <v>106.39999999999999</v>
      </c>
    </row>
    <row r="1546" spans="1:13">
      <c r="A1546" t="s">
        <v>340</v>
      </c>
      <c r="B1546" t="s">
        <v>341</v>
      </c>
      <c r="C1546" s="1">
        <v>39913</v>
      </c>
      <c r="D1546" t="s">
        <v>153</v>
      </c>
      <c r="E1546" t="s">
        <v>89</v>
      </c>
      <c r="F1546" t="s">
        <v>125</v>
      </c>
      <c r="G1546" t="s">
        <v>17</v>
      </c>
      <c r="H1546" t="s">
        <v>167</v>
      </c>
      <c r="I1546" t="s">
        <v>342</v>
      </c>
      <c r="J1546" t="s">
        <v>343</v>
      </c>
      <c r="K1546" s="2">
        <v>23.25</v>
      </c>
      <c r="L1546">
        <v>70</v>
      </c>
      <c r="M1546">
        <f t="shared" si="24"/>
        <v>1627.5</v>
      </c>
    </row>
    <row r="1547" spans="1:13">
      <c r="A1547" t="s">
        <v>340</v>
      </c>
      <c r="B1547" t="s">
        <v>341</v>
      </c>
      <c r="C1547" s="1">
        <v>39913</v>
      </c>
      <c r="D1547" t="s">
        <v>95</v>
      </c>
      <c r="E1547" t="s">
        <v>89</v>
      </c>
      <c r="F1547" t="s">
        <v>27</v>
      </c>
      <c r="G1547" t="s">
        <v>17</v>
      </c>
      <c r="H1547" t="s">
        <v>167</v>
      </c>
      <c r="I1547" t="s">
        <v>342</v>
      </c>
      <c r="J1547" t="s">
        <v>343</v>
      </c>
      <c r="K1547" s="2">
        <v>21.05</v>
      </c>
      <c r="L1547">
        <v>20</v>
      </c>
      <c r="M1547">
        <f t="shared" si="24"/>
        <v>421</v>
      </c>
    </row>
    <row r="1548" spans="1:13">
      <c r="A1548" t="s">
        <v>340</v>
      </c>
      <c r="B1548" t="s">
        <v>341</v>
      </c>
      <c r="C1548" s="1">
        <v>39568</v>
      </c>
      <c r="D1548" t="s">
        <v>185</v>
      </c>
      <c r="E1548" t="s">
        <v>15</v>
      </c>
      <c r="F1548" t="s">
        <v>134</v>
      </c>
      <c r="G1548" t="s">
        <v>39</v>
      </c>
      <c r="H1548" t="s">
        <v>167</v>
      </c>
      <c r="I1548" t="s">
        <v>342</v>
      </c>
      <c r="J1548" t="s">
        <v>343</v>
      </c>
      <c r="K1548" s="2">
        <v>18.399999999999999</v>
      </c>
      <c r="L1548">
        <v>40</v>
      </c>
      <c r="M1548">
        <f t="shared" si="24"/>
        <v>736</v>
      </c>
    </row>
    <row r="1549" spans="1:13">
      <c r="A1549" t="s">
        <v>340</v>
      </c>
      <c r="B1549" t="s">
        <v>341</v>
      </c>
      <c r="C1549" s="1">
        <v>39842</v>
      </c>
      <c r="D1549" t="s">
        <v>169</v>
      </c>
      <c r="E1549" t="s">
        <v>15</v>
      </c>
      <c r="F1549" t="s">
        <v>97</v>
      </c>
      <c r="G1549" t="s">
        <v>17</v>
      </c>
      <c r="H1549" t="s">
        <v>167</v>
      </c>
      <c r="I1549" t="s">
        <v>342</v>
      </c>
      <c r="J1549" t="s">
        <v>343</v>
      </c>
      <c r="K1549" s="2">
        <v>13</v>
      </c>
      <c r="L1549">
        <v>40</v>
      </c>
      <c r="M1549">
        <f t="shared" si="24"/>
        <v>520</v>
      </c>
    </row>
    <row r="1550" spans="1:13">
      <c r="A1550" t="s">
        <v>340</v>
      </c>
      <c r="B1550" t="s">
        <v>341</v>
      </c>
      <c r="C1550" s="1">
        <v>39497</v>
      </c>
      <c r="D1550" t="s">
        <v>88</v>
      </c>
      <c r="E1550" t="s">
        <v>15</v>
      </c>
      <c r="F1550" t="s">
        <v>51</v>
      </c>
      <c r="G1550" t="s">
        <v>39</v>
      </c>
      <c r="H1550" t="s">
        <v>167</v>
      </c>
      <c r="I1550" t="s">
        <v>342</v>
      </c>
      <c r="J1550" t="s">
        <v>343</v>
      </c>
      <c r="K1550" s="2">
        <v>123.79</v>
      </c>
      <c r="L1550">
        <v>80</v>
      </c>
      <c r="M1550">
        <f t="shared" si="24"/>
        <v>9903.2000000000007</v>
      </c>
    </row>
    <row r="1551" spans="1:13">
      <c r="A1551" t="s">
        <v>340</v>
      </c>
      <c r="B1551" t="s">
        <v>341</v>
      </c>
      <c r="C1551" s="1">
        <v>39504</v>
      </c>
      <c r="D1551" t="s">
        <v>131</v>
      </c>
      <c r="E1551" t="s">
        <v>53</v>
      </c>
      <c r="F1551" t="s">
        <v>132</v>
      </c>
      <c r="G1551" t="s">
        <v>39</v>
      </c>
      <c r="H1551" t="s">
        <v>167</v>
      </c>
      <c r="I1551" t="s">
        <v>342</v>
      </c>
      <c r="J1551" t="s">
        <v>343</v>
      </c>
      <c r="K1551" s="2">
        <v>21</v>
      </c>
      <c r="L1551">
        <v>40</v>
      </c>
      <c r="M1551">
        <f t="shared" si="24"/>
        <v>840</v>
      </c>
    </row>
    <row r="1552" spans="1:13">
      <c r="A1552" t="s">
        <v>340</v>
      </c>
      <c r="B1552" t="s">
        <v>341</v>
      </c>
      <c r="C1552" s="1">
        <v>39710</v>
      </c>
      <c r="D1552" t="s">
        <v>110</v>
      </c>
      <c r="E1552" t="s">
        <v>15</v>
      </c>
      <c r="F1552" t="s">
        <v>74</v>
      </c>
      <c r="G1552" t="s">
        <v>17</v>
      </c>
      <c r="H1552" t="s">
        <v>167</v>
      </c>
      <c r="I1552" t="s">
        <v>342</v>
      </c>
      <c r="J1552" t="s">
        <v>343</v>
      </c>
      <c r="K1552" s="2">
        <v>11.2</v>
      </c>
      <c r="L1552">
        <v>2</v>
      </c>
      <c r="M1552">
        <f t="shared" si="24"/>
        <v>22.4</v>
      </c>
    </row>
    <row r="1553" spans="1:13">
      <c r="A1553" t="s">
        <v>340</v>
      </c>
      <c r="B1553" t="s">
        <v>341</v>
      </c>
      <c r="C1553" s="1">
        <v>39973</v>
      </c>
      <c r="D1553" t="s">
        <v>52</v>
      </c>
      <c r="E1553" t="s">
        <v>21</v>
      </c>
      <c r="F1553" t="s">
        <v>54</v>
      </c>
      <c r="G1553" t="s">
        <v>17</v>
      </c>
      <c r="H1553" t="s">
        <v>167</v>
      </c>
      <c r="I1553" t="s">
        <v>342</v>
      </c>
      <c r="J1553" t="s">
        <v>343</v>
      </c>
      <c r="K1553" s="2">
        <v>55</v>
      </c>
      <c r="L1553">
        <v>40</v>
      </c>
      <c r="M1553">
        <f t="shared" si="24"/>
        <v>2200</v>
      </c>
    </row>
    <row r="1554" spans="1:13">
      <c r="A1554" t="s">
        <v>340</v>
      </c>
      <c r="B1554" t="s">
        <v>341</v>
      </c>
      <c r="C1554" s="1">
        <v>39710</v>
      </c>
      <c r="D1554" t="s">
        <v>155</v>
      </c>
      <c r="E1554" t="s">
        <v>15</v>
      </c>
      <c r="F1554" t="s">
        <v>25</v>
      </c>
      <c r="G1554" t="s">
        <v>17</v>
      </c>
      <c r="H1554" t="s">
        <v>167</v>
      </c>
      <c r="I1554" t="s">
        <v>342</v>
      </c>
      <c r="J1554" t="s">
        <v>343</v>
      </c>
      <c r="K1554" s="2">
        <v>20</v>
      </c>
      <c r="L1554">
        <v>30</v>
      </c>
      <c r="M1554">
        <f t="shared" si="24"/>
        <v>600</v>
      </c>
    </row>
    <row r="1555" spans="1:13">
      <c r="A1555" t="s">
        <v>340</v>
      </c>
      <c r="B1555" t="s">
        <v>341</v>
      </c>
      <c r="C1555" s="1">
        <v>39710</v>
      </c>
      <c r="D1555" t="s">
        <v>26</v>
      </c>
      <c r="E1555" t="s">
        <v>15</v>
      </c>
      <c r="F1555" t="s">
        <v>27</v>
      </c>
      <c r="G1555" t="s">
        <v>17</v>
      </c>
      <c r="H1555" t="s">
        <v>167</v>
      </c>
      <c r="I1555" t="s">
        <v>342</v>
      </c>
      <c r="J1555" t="s">
        <v>343</v>
      </c>
      <c r="K1555" s="2">
        <v>17.600000000000001</v>
      </c>
      <c r="L1555">
        <v>20</v>
      </c>
      <c r="M1555">
        <f t="shared" si="24"/>
        <v>352</v>
      </c>
    </row>
    <row r="1556" spans="1:13">
      <c r="A1556" t="s">
        <v>340</v>
      </c>
      <c r="B1556" t="s">
        <v>341</v>
      </c>
      <c r="C1556" s="1">
        <v>39497</v>
      </c>
      <c r="D1556" t="s">
        <v>83</v>
      </c>
      <c r="E1556" t="s">
        <v>15</v>
      </c>
      <c r="F1556" t="s">
        <v>84</v>
      </c>
      <c r="G1556" t="s">
        <v>39</v>
      </c>
      <c r="H1556" t="s">
        <v>167</v>
      </c>
      <c r="I1556" t="s">
        <v>342</v>
      </c>
      <c r="J1556" t="s">
        <v>343</v>
      </c>
      <c r="K1556" s="2">
        <v>25.89</v>
      </c>
      <c r="L1556">
        <v>36</v>
      </c>
      <c r="M1556">
        <f t="shared" si="24"/>
        <v>932.04</v>
      </c>
    </row>
    <row r="1557" spans="1:13">
      <c r="A1557" t="s">
        <v>340</v>
      </c>
      <c r="B1557" t="s">
        <v>341</v>
      </c>
      <c r="C1557" s="1">
        <v>39973</v>
      </c>
      <c r="D1557" t="s">
        <v>137</v>
      </c>
      <c r="E1557" t="s">
        <v>21</v>
      </c>
      <c r="F1557" t="s">
        <v>76</v>
      </c>
      <c r="G1557" t="s">
        <v>17</v>
      </c>
      <c r="H1557" t="s">
        <v>167</v>
      </c>
      <c r="I1557" t="s">
        <v>342</v>
      </c>
      <c r="J1557" t="s">
        <v>343</v>
      </c>
      <c r="K1557" s="2">
        <v>12.5</v>
      </c>
      <c r="L1557">
        <v>60</v>
      </c>
      <c r="M1557">
        <f t="shared" si="24"/>
        <v>750</v>
      </c>
    </row>
    <row r="1558" spans="1:13">
      <c r="A1558" t="s">
        <v>344</v>
      </c>
      <c r="B1558" t="s">
        <v>345</v>
      </c>
      <c r="C1558" s="1">
        <v>39463</v>
      </c>
      <c r="D1558" t="s">
        <v>44</v>
      </c>
      <c r="E1558" t="s">
        <v>50</v>
      </c>
      <c r="F1558" t="s">
        <v>45</v>
      </c>
      <c r="G1558" t="s">
        <v>39</v>
      </c>
      <c r="H1558" t="s">
        <v>106</v>
      </c>
      <c r="I1558" t="s">
        <v>190</v>
      </c>
      <c r="J1558" t="s">
        <v>223</v>
      </c>
      <c r="K1558" s="2">
        <v>18</v>
      </c>
      <c r="L1558">
        <v>6</v>
      </c>
      <c r="M1558">
        <f t="shared" si="24"/>
        <v>108</v>
      </c>
    </row>
    <row r="1559" spans="1:13">
      <c r="A1559" t="s">
        <v>344</v>
      </c>
      <c r="B1559" t="s">
        <v>345</v>
      </c>
      <c r="C1559" s="1">
        <v>40065</v>
      </c>
      <c r="D1559" t="s">
        <v>43</v>
      </c>
      <c r="E1559" t="s">
        <v>50</v>
      </c>
      <c r="F1559" t="s">
        <v>41</v>
      </c>
      <c r="G1559" t="s">
        <v>17</v>
      </c>
      <c r="H1559" t="s">
        <v>106</v>
      </c>
      <c r="I1559" t="s">
        <v>190</v>
      </c>
      <c r="J1559" t="s">
        <v>223</v>
      </c>
      <c r="K1559" s="2">
        <v>36</v>
      </c>
      <c r="L1559">
        <v>45</v>
      </c>
      <c r="M1559">
        <f t="shared" si="24"/>
        <v>1620</v>
      </c>
    </row>
    <row r="1560" spans="1:13">
      <c r="A1560" t="s">
        <v>344</v>
      </c>
      <c r="B1560" t="s">
        <v>345</v>
      </c>
      <c r="C1560" s="1">
        <v>39463</v>
      </c>
      <c r="D1560" t="s">
        <v>117</v>
      </c>
      <c r="E1560" t="s">
        <v>50</v>
      </c>
      <c r="F1560" t="s">
        <v>118</v>
      </c>
      <c r="G1560" t="s">
        <v>39</v>
      </c>
      <c r="H1560" t="s">
        <v>106</v>
      </c>
      <c r="I1560" t="s">
        <v>190</v>
      </c>
      <c r="J1560" t="s">
        <v>223</v>
      </c>
      <c r="K1560" s="2">
        <v>21</v>
      </c>
      <c r="L1560">
        <v>52</v>
      </c>
      <c r="M1560">
        <f t="shared" si="24"/>
        <v>1092</v>
      </c>
    </row>
    <row r="1561" spans="1:13">
      <c r="A1561" t="s">
        <v>344</v>
      </c>
      <c r="B1561" t="s">
        <v>345</v>
      </c>
      <c r="C1561" s="1">
        <v>40040</v>
      </c>
      <c r="D1561" t="s">
        <v>30</v>
      </c>
      <c r="E1561" t="s">
        <v>50</v>
      </c>
      <c r="F1561" t="s">
        <v>31</v>
      </c>
      <c r="G1561" t="s">
        <v>17</v>
      </c>
      <c r="H1561" t="s">
        <v>106</v>
      </c>
      <c r="I1561" t="s">
        <v>190</v>
      </c>
      <c r="J1561" t="s">
        <v>223</v>
      </c>
      <c r="K1561" s="2">
        <v>31.23</v>
      </c>
      <c r="L1561">
        <v>35</v>
      </c>
      <c r="M1561">
        <f t="shared" si="24"/>
        <v>1093.05</v>
      </c>
    </row>
    <row r="1562" spans="1:13">
      <c r="A1562" t="s">
        <v>344</v>
      </c>
      <c r="B1562" t="s">
        <v>345</v>
      </c>
      <c r="C1562" s="1">
        <v>39533</v>
      </c>
      <c r="D1562" t="s">
        <v>72</v>
      </c>
      <c r="E1562" t="s">
        <v>67</v>
      </c>
      <c r="F1562" t="s">
        <v>22</v>
      </c>
      <c r="G1562" t="s">
        <v>39</v>
      </c>
      <c r="H1562" t="s">
        <v>106</v>
      </c>
      <c r="I1562" t="s">
        <v>190</v>
      </c>
      <c r="J1562" t="s">
        <v>223</v>
      </c>
      <c r="K1562" s="2">
        <v>43.9</v>
      </c>
      <c r="L1562">
        <v>35</v>
      </c>
      <c r="M1562">
        <f t="shared" si="24"/>
        <v>1536.5</v>
      </c>
    </row>
    <row r="1563" spans="1:13">
      <c r="A1563" t="s">
        <v>344</v>
      </c>
      <c r="B1563" t="s">
        <v>345</v>
      </c>
      <c r="C1563" s="1">
        <v>39533</v>
      </c>
      <c r="D1563" t="s">
        <v>137</v>
      </c>
      <c r="E1563" t="s">
        <v>67</v>
      </c>
      <c r="F1563" t="s">
        <v>76</v>
      </c>
      <c r="G1563" t="s">
        <v>39</v>
      </c>
      <c r="H1563" t="s">
        <v>106</v>
      </c>
      <c r="I1563" t="s">
        <v>190</v>
      </c>
      <c r="J1563" t="s">
        <v>223</v>
      </c>
      <c r="K1563" s="2">
        <v>12.5</v>
      </c>
      <c r="L1563">
        <v>24</v>
      </c>
      <c r="M1563">
        <f t="shared" si="24"/>
        <v>300</v>
      </c>
    </row>
    <row r="1564" spans="1:13">
      <c r="A1564" t="s">
        <v>344</v>
      </c>
      <c r="B1564" t="s">
        <v>345</v>
      </c>
      <c r="C1564" s="1">
        <v>39546</v>
      </c>
      <c r="D1564" t="s">
        <v>77</v>
      </c>
      <c r="E1564" t="s">
        <v>50</v>
      </c>
      <c r="F1564" t="s">
        <v>51</v>
      </c>
      <c r="G1564" t="s">
        <v>39</v>
      </c>
      <c r="H1564" t="s">
        <v>106</v>
      </c>
      <c r="I1564" t="s">
        <v>190</v>
      </c>
      <c r="J1564" t="s">
        <v>223</v>
      </c>
      <c r="K1564" s="2">
        <v>45.6</v>
      </c>
      <c r="L1564">
        <v>70</v>
      </c>
      <c r="M1564">
        <f t="shared" si="24"/>
        <v>3192</v>
      </c>
    </row>
    <row r="1565" spans="1:13">
      <c r="A1565" t="s">
        <v>344</v>
      </c>
      <c r="B1565" t="s">
        <v>345</v>
      </c>
      <c r="C1565" s="1">
        <v>39546</v>
      </c>
      <c r="D1565" t="s">
        <v>59</v>
      </c>
      <c r="E1565" t="s">
        <v>50</v>
      </c>
      <c r="F1565" t="s">
        <v>45</v>
      </c>
      <c r="G1565" t="s">
        <v>39</v>
      </c>
      <c r="H1565" t="s">
        <v>106</v>
      </c>
      <c r="I1565" t="s">
        <v>190</v>
      </c>
      <c r="J1565" t="s">
        <v>223</v>
      </c>
      <c r="K1565" s="2">
        <v>14</v>
      </c>
      <c r="L1565">
        <v>90</v>
      </c>
      <c r="M1565">
        <f t="shared" si="24"/>
        <v>1260</v>
      </c>
    </row>
    <row r="1566" spans="1:13">
      <c r="A1566" t="s">
        <v>344</v>
      </c>
      <c r="B1566" t="s">
        <v>345</v>
      </c>
      <c r="C1566" s="1">
        <v>40004</v>
      </c>
      <c r="D1566" t="s">
        <v>28</v>
      </c>
      <c r="E1566" t="s">
        <v>53</v>
      </c>
      <c r="F1566" t="s">
        <v>29</v>
      </c>
      <c r="G1566" t="s">
        <v>17</v>
      </c>
      <c r="H1566" t="s">
        <v>106</v>
      </c>
      <c r="I1566" t="s">
        <v>190</v>
      </c>
      <c r="J1566" t="s">
        <v>223</v>
      </c>
      <c r="K1566" s="2">
        <v>28.5</v>
      </c>
      <c r="L1566">
        <v>120</v>
      </c>
      <c r="M1566">
        <f t="shared" si="24"/>
        <v>3420</v>
      </c>
    </row>
    <row r="1567" spans="1:13">
      <c r="A1567" t="s">
        <v>344</v>
      </c>
      <c r="B1567" t="s">
        <v>345</v>
      </c>
      <c r="C1567" s="1">
        <v>40040</v>
      </c>
      <c r="D1567" t="s">
        <v>124</v>
      </c>
      <c r="E1567" t="s">
        <v>50</v>
      </c>
      <c r="F1567" t="s">
        <v>125</v>
      </c>
      <c r="G1567" t="s">
        <v>17</v>
      </c>
      <c r="H1567" t="s">
        <v>106</v>
      </c>
      <c r="I1567" t="s">
        <v>190</v>
      </c>
      <c r="J1567" t="s">
        <v>223</v>
      </c>
      <c r="K1567" s="2">
        <v>6</v>
      </c>
      <c r="L1567">
        <v>13</v>
      </c>
      <c r="M1567">
        <f t="shared" si="24"/>
        <v>78</v>
      </c>
    </row>
    <row r="1568" spans="1:13">
      <c r="A1568" t="s">
        <v>344</v>
      </c>
      <c r="B1568" t="s">
        <v>345</v>
      </c>
      <c r="C1568" s="1">
        <v>40040</v>
      </c>
      <c r="D1568" t="s">
        <v>154</v>
      </c>
      <c r="E1568" t="s">
        <v>50</v>
      </c>
      <c r="F1568" t="s">
        <v>132</v>
      </c>
      <c r="G1568" t="s">
        <v>17</v>
      </c>
      <c r="H1568" t="s">
        <v>106</v>
      </c>
      <c r="I1568" t="s">
        <v>190</v>
      </c>
      <c r="J1568" t="s">
        <v>223</v>
      </c>
      <c r="K1568" s="2">
        <v>38</v>
      </c>
      <c r="L1568">
        <v>36</v>
      </c>
      <c r="M1568">
        <f t="shared" si="24"/>
        <v>1368</v>
      </c>
    </row>
    <row r="1569" spans="1:13">
      <c r="A1569" t="s">
        <v>344</v>
      </c>
      <c r="B1569" t="s">
        <v>345</v>
      </c>
      <c r="C1569" s="1">
        <v>39546</v>
      </c>
      <c r="D1569" t="s">
        <v>121</v>
      </c>
      <c r="E1569" t="s">
        <v>50</v>
      </c>
      <c r="F1569" t="s">
        <v>41</v>
      </c>
      <c r="G1569" t="s">
        <v>39</v>
      </c>
      <c r="H1569" t="s">
        <v>106</v>
      </c>
      <c r="I1569" t="s">
        <v>190</v>
      </c>
      <c r="J1569" t="s">
        <v>223</v>
      </c>
      <c r="K1569" s="2">
        <v>21.5</v>
      </c>
      <c r="L1569">
        <v>21</v>
      </c>
      <c r="M1569">
        <f t="shared" si="24"/>
        <v>451.5</v>
      </c>
    </row>
    <row r="1570" spans="1:13">
      <c r="A1570" t="s">
        <v>344</v>
      </c>
      <c r="B1570" t="s">
        <v>345</v>
      </c>
      <c r="C1570" s="1">
        <v>39750</v>
      </c>
      <c r="D1570" t="s">
        <v>147</v>
      </c>
      <c r="E1570" t="s">
        <v>53</v>
      </c>
      <c r="F1570" t="s">
        <v>51</v>
      </c>
      <c r="G1570" t="s">
        <v>17</v>
      </c>
      <c r="H1570" t="s">
        <v>106</v>
      </c>
      <c r="I1570" t="s">
        <v>190</v>
      </c>
      <c r="J1570" t="s">
        <v>223</v>
      </c>
      <c r="K1570" s="2">
        <v>26.6</v>
      </c>
      <c r="L1570">
        <v>35</v>
      </c>
      <c r="M1570">
        <f t="shared" si="24"/>
        <v>931</v>
      </c>
    </row>
    <row r="1571" spans="1:13">
      <c r="A1571" t="s">
        <v>344</v>
      </c>
      <c r="B1571" t="s">
        <v>345</v>
      </c>
      <c r="C1571" s="1">
        <v>39463</v>
      </c>
      <c r="D1571" t="s">
        <v>86</v>
      </c>
      <c r="E1571" t="s">
        <v>50</v>
      </c>
      <c r="F1571" t="s">
        <v>54</v>
      </c>
      <c r="G1571" t="s">
        <v>39</v>
      </c>
      <c r="H1571" t="s">
        <v>106</v>
      </c>
      <c r="I1571" t="s">
        <v>190</v>
      </c>
      <c r="J1571" t="s">
        <v>223</v>
      </c>
      <c r="K1571" s="2">
        <v>34</v>
      </c>
      <c r="L1571">
        <v>60</v>
      </c>
      <c r="M1571">
        <f t="shared" si="24"/>
        <v>2040</v>
      </c>
    </row>
    <row r="1572" spans="1:13">
      <c r="A1572" t="s">
        <v>344</v>
      </c>
      <c r="B1572" t="s">
        <v>345</v>
      </c>
      <c r="C1572" s="1">
        <v>39463</v>
      </c>
      <c r="D1572" t="s">
        <v>147</v>
      </c>
      <c r="E1572" t="s">
        <v>50</v>
      </c>
      <c r="F1572" t="s">
        <v>51</v>
      </c>
      <c r="G1572" t="s">
        <v>39</v>
      </c>
      <c r="H1572" t="s">
        <v>106</v>
      </c>
      <c r="I1572" t="s">
        <v>190</v>
      </c>
      <c r="J1572" t="s">
        <v>223</v>
      </c>
      <c r="K1572" s="2">
        <v>33.25</v>
      </c>
      <c r="L1572">
        <v>30</v>
      </c>
      <c r="M1572">
        <f t="shared" si="24"/>
        <v>997.5</v>
      </c>
    </row>
    <row r="1573" spans="1:13">
      <c r="A1573" t="s">
        <v>344</v>
      </c>
      <c r="B1573" t="s">
        <v>345</v>
      </c>
      <c r="C1573" s="1">
        <v>39533</v>
      </c>
      <c r="D1573" t="s">
        <v>150</v>
      </c>
      <c r="E1573" t="s">
        <v>67</v>
      </c>
      <c r="F1573" t="s">
        <v>31</v>
      </c>
      <c r="G1573" t="s">
        <v>39</v>
      </c>
      <c r="H1573" t="s">
        <v>106</v>
      </c>
      <c r="I1573" t="s">
        <v>190</v>
      </c>
      <c r="J1573" t="s">
        <v>223</v>
      </c>
      <c r="K1573" s="2">
        <v>43.9</v>
      </c>
      <c r="L1573">
        <v>30</v>
      </c>
      <c r="M1573">
        <f t="shared" si="24"/>
        <v>1317</v>
      </c>
    </row>
    <row r="1574" spans="1:13">
      <c r="A1574" t="s">
        <v>344</v>
      </c>
      <c r="B1574" t="s">
        <v>345</v>
      </c>
      <c r="C1574" s="1">
        <v>39981</v>
      </c>
      <c r="D1574" t="s">
        <v>110</v>
      </c>
      <c r="E1574" t="s">
        <v>67</v>
      </c>
      <c r="F1574" t="s">
        <v>74</v>
      </c>
      <c r="G1574" t="s">
        <v>17</v>
      </c>
      <c r="H1574" t="s">
        <v>106</v>
      </c>
      <c r="I1574" t="s">
        <v>190</v>
      </c>
      <c r="J1574" t="s">
        <v>223</v>
      </c>
      <c r="K1574" s="2">
        <v>14</v>
      </c>
      <c r="L1574">
        <v>28</v>
      </c>
      <c r="M1574">
        <f t="shared" si="24"/>
        <v>392</v>
      </c>
    </row>
    <row r="1575" spans="1:13">
      <c r="A1575" t="s">
        <v>344</v>
      </c>
      <c r="B1575" t="s">
        <v>345</v>
      </c>
      <c r="C1575" s="1">
        <v>39750</v>
      </c>
      <c r="D1575" t="s">
        <v>123</v>
      </c>
      <c r="E1575" t="s">
        <v>53</v>
      </c>
      <c r="F1575" t="s">
        <v>63</v>
      </c>
      <c r="G1575" t="s">
        <v>17</v>
      </c>
      <c r="H1575" t="s">
        <v>106</v>
      </c>
      <c r="I1575" t="s">
        <v>190</v>
      </c>
      <c r="J1575" t="s">
        <v>223</v>
      </c>
      <c r="K1575" s="2">
        <v>15.6</v>
      </c>
      <c r="L1575">
        <v>25</v>
      </c>
      <c r="M1575">
        <f t="shared" si="24"/>
        <v>390</v>
      </c>
    </row>
    <row r="1576" spans="1:13">
      <c r="A1576" t="s">
        <v>344</v>
      </c>
      <c r="B1576" t="s">
        <v>345</v>
      </c>
      <c r="C1576" s="1">
        <v>39539</v>
      </c>
      <c r="D1576" t="s">
        <v>34</v>
      </c>
      <c r="E1576" t="s">
        <v>53</v>
      </c>
      <c r="F1576" t="s">
        <v>35</v>
      </c>
      <c r="G1576" t="s">
        <v>39</v>
      </c>
      <c r="H1576" t="s">
        <v>106</v>
      </c>
      <c r="I1576" t="s">
        <v>190</v>
      </c>
      <c r="J1576" t="s">
        <v>223</v>
      </c>
      <c r="K1576" s="2">
        <v>10</v>
      </c>
      <c r="L1576">
        <v>65</v>
      </c>
      <c r="M1576">
        <f t="shared" si="24"/>
        <v>650</v>
      </c>
    </row>
    <row r="1577" spans="1:13">
      <c r="A1577" t="s">
        <v>344</v>
      </c>
      <c r="B1577" t="s">
        <v>345</v>
      </c>
      <c r="C1577" s="1">
        <v>40004</v>
      </c>
      <c r="D1577" t="s">
        <v>44</v>
      </c>
      <c r="E1577" t="s">
        <v>53</v>
      </c>
      <c r="F1577" t="s">
        <v>45</v>
      </c>
      <c r="G1577" t="s">
        <v>17</v>
      </c>
      <c r="H1577" t="s">
        <v>106</v>
      </c>
      <c r="I1577" t="s">
        <v>190</v>
      </c>
      <c r="J1577" t="s">
        <v>223</v>
      </c>
      <c r="K1577" s="2">
        <v>18</v>
      </c>
      <c r="L1577">
        <v>30</v>
      </c>
      <c r="M1577">
        <f t="shared" si="24"/>
        <v>540</v>
      </c>
    </row>
    <row r="1578" spans="1:13">
      <c r="A1578" t="s">
        <v>344</v>
      </c>
      <c r="B1578" t="s">
        <v>345</v>
      </c>
      <c r="C1578" s="1">
        <v>39539</v>
      </c>
      <c r="D1578" t="s">
        <v>148</v>
      </c>
      <c r="E1578" t="s">
        <v>53</v>
      </c>
      <c r="F1578" t="s">
        <v>16</v>
      </c>
      <c r="G1578" t="s">
        <v>39</v>
      </c>
      <c r="H1578" t="s">
        <v>106</v>
      </c>
      <c r="I1578" t="s">
        <v>190</v>
      </c>
      <c r="J1578" t="s">
        <v>223</v>
      </c>
      <c r="K1578" s="2">
        <v>24</v>
      </c>
      <c r="L1578">
        <v>65</v>
      </c>
      <c r="M1578">
        <f t="shared" si="24"/>
        <v>1560</v>
      </c>
    </row>
    <row r="1579" spans="1:13">
      <c r="A1579" t="s">
        <v>344</v>
      </c>
      <c r="B1579" t="s">
        <v>345</v>
      </c>
      <c r="C1579" s="1">
        <v>39750</v>
      </c>
      <c r="D1579" t="s">
        <v>77</v>
      </c>
      <c r="E1579" t="s">
        <v>53</v>
      </c>
      <c r="F1579" t="s">
        <v>51</v>
      </c>
      <c r="G1579" t="s">
        <v>17</v>
      </c>
      <c r="H1579" t="s">
        <v>106</v>
      </c>
      <c r="I1579" t="s">
        <v>190</v>
      </c>
      <c r="J1579" t="s">
        <v>223</v>
      </c>
      <c r="K1579" s="2">
        <v>36.4</v>
      </c>
      <c r="L1579">
        <v>13</v>
      </c>
      <c r="M1579">
        <f t="shared" si="24"/>
        <v>473.2</v>
      </c>
    </row>
    <row r="1580" spans="1:13">
      <c r="A1580" t="s">
        <v>344</v>
      </c>
      <c r="B1580" t="s">
        <v>345</v>
      </c>
      <c r="C1580" s="1">
        <v>39463</v>
      </c>
      <c r="D1580" t="s">
        <v>123</v>
      </c>
      <c r="E1580" t="s">
        <v>50</v>
      </c>
      <c r="F1580" t="s">
        <v>63</v>
      </c>
      <c r="G1580" t="s">
        <v>39</v>
      </c>
      <c r="H1580" t="s">
        <v>106</v>
      </c>
      <c r="I1580" t="s">
        <v>190</v>
      </c>
      <c r="J1580" t="s">
        <v>223</v>
      </c>
      <c r="K1580" s="2">
        <v>19.5</v>
      </c>
      <c r="L1580">
        <v>24</v>
      </c>
      <c r="M1580">
        <f t="shared" si="24"/>
        <v>468</v>
      </c>
    </row>
    <row r="1581" spans="1:13">
      <c r="A1581" t="s">
        <v>344</v>
      </c>
      <c r="B1581" t="s">
        <v>345</v>
      </c>
      <c r="C1581" s="1">
        <v>39981</v>
      </c>
      <c r="D1581" t="s">
        <v>153</v>
      </c>
      <c r="E1581" t="s">
        <v>67</v>
      </c>
      <c r="F1581" t="s">
        <v>125</v>
      </c>
      <c r="G1581" t="s">
        <v>17</v>
      </c>
      <c r="H1581" t="s">
        <v>106</v>
      </c>
      <c r="I1581" t="s">
        <v>190</v>
      </c>
      <c r="J1581" t="s">
        <v>223</v>
      </c>
      <c r="K1581" s="2">
        <v>23.25</v>
      </c>
      <c r="L1581">
        <v>11</v>
      </c>
      <c r="M1581">
        <f t="shared" si="24"/>
        <v>255.75</v>
      </c>
    </row>
    <row r="1582" spans="1:13">
      <c r="A1582" t="s">
        <v>344</v>
      </c>
      <c r="B1582" t="s">
        <v>345</v>
      </c>
      <c r="C1582" s="1">
        <v>40040</v>
      </c>
      <c r="D1582" t="s">
        <v>38</v>
      </c>
      <c r="E1582" t="s">
        <v>50</v>
      </c>
      <c r="F1582" t="s">
        <v>29</v>
      </c>
      <c r="G1582" t="s">
        <v>17</v>
      </c>
      <c r="H1582" t="s">
        <v>106</v>
      </c>
      <c r="I1582" t="s">
        <v>190</v>
      </c>
      <c r="J1582" t="s">
        <v>223</v>
      </c>
      <c r="K1582" s="2">
        <v>49.3</v>
      </c>
      <c r="L1582">
        <v>80</v>
      </c>
      <c r="M1582">
        <f t="shared" si="24"/>
        <v>3944</v>
      </c>
    </row>
    <row r="1583" spans="1:13">
      <c r="A1583" t="s">
        <v>344</v>
      </c>
      <c r="B1583" t="s">
        <v>345</v>
      </c>
      <c r="C1583" s="1">
        <v>40004</v>
      </c>
      <c r="D1583" t="s">
        <v>43</v>
      </c>
      <c r="E1583" t="s">
        <v>53</v>
      </c>
      <c r="F1583" t="s">
        <v>41</v>
      </c>
      <c r="G1583" t="s">
        <v>17</v>
      </c>
      <c r="H1583" t="s">
        <v>106</v>
      </c>
      <c r="I1583" t="s">
        <v>190</v>
      </c>
      <c r="J1583" t="s">
        <v>223</v>
      </c>
      <c r="K1583" s="2">
        <v>36</v>
      </c>
      <c r="L1583">
        <v>65</v>
      </c>
      <c r="M1583">
        <f t="shared" si="24"/>
        <v>2340</v>
      </c>
    </row>
    <row r="1584" spans="1:13">
      <c r="A1584" t="s">
        <v>344</v>
      </c>
      <c r="B1584" t="s">
        <v>345</v>
      </c>
      <c r="C1584" s="1">
        <v>39750</v>
      </c>
      <c r="D1584" t="s">
        <v>34</v>
      </c>
      <c r="E1584" t="s">
        <v>53</v>
      </c>
      <c r="F1584" t="s">
        <v>35</v>
      </c>
      <c r="G1584" t="s">
        <v>17</v>
      </c>
      <c r="H1584" t="s">
        <v>106</v>
      </c>
      <c r="I1584" t="s">
        <v>190</v>
      </c>
      <c r="J1584" t="s">
        <v>223</v>
      </c>
      <c r="K1584" s="2">
        <v>8</v>
      </c>
      <c r="L1584">
        <v>5</v>
      </c>
      <c r="M1584">
        <f t="shared" si="24"/>
        <v>40</v>
      </c>
    </row>
    <row r="1585" spans="1:13">
      <c r="A1585" t="s">
        <v>344</v>
      </c>
      <c r="B1585" t="s">
        <v>345</v>
      </c>
      <c r="C1585" s="1">
        <v>39539</v>
      </c>
      <c r="D1585" t="s">
        <v>28</v>
      </c>
      <c r="E1585" t="s">
        <v>53</v>
      </c>
      <c r="F1585" t="s">
        <v>29</v>
      </c>
      <c r="G1585" t="s">
        <v>39</v>
      </c>
      <c r="H1585" t="s">
        <v>106</v>
      </c>
      <c r="I1585" t="s">
        <v>190</v>
      </c>
      <c r="J1585" t="s">
        <v>223</v>
      </c>
      <c r="K1585" s="2">
        <v>28.5</v>
      </c>
      <c r="L1585">
        <v>66</v>
      </c>
      <c r="M1585">
        <f t="shared" si="24"/>
        <v>1881</v>
      </c>
    </row>
    <row r="1586" spans="1:13">
      <c r="A1586" t="s">
        <v>344</v>
      </c>
      <c r="B1586" t="s">
        <v>345</v>
      </c>
      <c r="C1586" s="1">
        <v>39539</v>
      </c>
      <c r="D1586" t="s">
        <v>59</v>
      </c>
      <c r="E1586" t="s">
        <v>53</v>
      </c>
      <c r="F1586" t="s">
        <v>45</v>
      </c>
      <c r="G1586" t="s">
        <v>39</v>
      </c>
      <c r="H1586" t="s">
        <v>106</v>
      </c>
      <c r="I1586" t="s">
        <v>190</v>
      </c>
      <c r="J1586" t="s">
        <v>223</v>
      </c>
      <c r="K1586" s="2">
        <v>14</v>
      </c>
      <c r="L1586">
        <v>60</v>
      </c>
      <c r="M1586">
        <f t="shared" si="24"/>
        <v>840</v>
      </c>
    </row>
    <row r="1587" spans="1:13">
      <c r="A1587" t="s">
        <v>344</v>
      </c>
      <c r="B1587" t="s">
        <v>345</v>
      </c>
      <c r="C1587" s="1">
        <v>40071</v>
      </c>
      <c r="D1587" t="s">
        <v>60</v>
      </c>
      <c r="E1587" t="s">
        <v>21</v>
      </c>
      <c r="F1587" t="s">
        <v>61</v>
      </c>
      <c r="G1587" t="s">
        <v>39</v>
      </c>
      <c r="H1587" t="s">
        <v>106</v>
      </c>
      <c r="I1587" t="s">
        <v>190</v>
      </c>
      <c r="J1587" t="s">
        <v>223</v>
      </c>
      <c r="K1587" s="2">
        <v>9.5</v>
      </c>
      <c r="L1587">
        <v>27</v>
      </c>
      <c r="M1587">
        <f t="shared" si="24"/>
        <v>256.5</v>
      </c>
    </row>
    <row r="1588" spans="1:13">
      <c r="A1588" t="s">
        <v>344</v>
      </c>
      <c r="B1588" t="s">
        <v>345</v>
      </c>
      <c r="C1588" s="1">
        <v>40066</v>
      </c>
      <c r="D1588" t="s">
        <v>137</v>
      </c>
      <c r="E1588" t="s">
        <v>21</v>
      </c>
      <c r="F1588" t="s">
        <v>76</v>
      </c>
      <c r="G1588" t="s">
        <v>39</v>
      </c>
      <c r="H1588" t="s">
        <v>106</v>
      </c>
      <c r="I1588" t="s">
        <v>190</v>
      </c>
      <c r="J1588" t="s">
        <v>223</v>
      </c>
      <c r="K1588" s="2">
        <v>12.5</v>
      </c>
      <c r="L1588">
        <v>70</v>
      </c>
      <c r="M1588">
        <f t="shared" si="24"/>
        <v>875</v>
      </c>
    </row>
    <row r="1589" spans="1:13">
      <c r="A1589" t="s">
        <v>344</v>
      </c>
      <c r="B1589" t="s">
        <v>345</v>
      </c>
      <c r="C1589" s="1">
        <v>39573</v>
      </c>
      <c r="D1589" t="s">
        <v>36</v>
      </c>
      <c r="E1589" t="s">
        <v>24</v>
      </c>
      <c r="F1589" t="s">
        <v>37</v>
      </c>
      <c r="G1589" t="s">
        <v>39</v>
      </c>
      <c r="H1589" t="s">
        <v>106</v>
      </c>
      <c r="I1589" t="s">
        <v>190</v>
      </c>
      <c r="J1589" t="s">
        <v>223</v>
      </c>
      <c r="K1589" s="2">
        <v>19</v>
      </c>
      <c r="L1589">
        <v>8</v>
      </c>
      <c r="M1589">
        <f t="shared" si="24"/>
        <v>152</v>
      </c>
    </row>
    <row r="1590" spans="1:13">
      <c r="A1590" t="s">
        <v>344</v>
      </c>
      <c r="B1590" t="s">
        <v>345</v>
      </c>
      <c r="C1590" s="1">
        <v>40066</v>
      </c>
      <c r="D1590" t="s">
        <v>71</v>
      </c>
      <c r="E1590" t="s">
        <v>21</v>
      </c>
      <c r="F1590" t="s">
        <v>51</v>
      </c>
      <c r="G1590" t="s">
        <v>39</v>
      </c>
      <c r="H1590" t="s">
        <v>106</v>
      </c>
      <c r="I1590" t="s">
        <v>190</v>
      </c>
      <c r="J1590" t="s">
        <v>223</v>
      </c>
      <c r="K1590" s="2">
        <v>7.75</v>
      </c>
      <c r="L1590">
        <v>7</v>
      </c>
      <c r="M1590">
        <f t="shared" si="24"/>
        <v>54.25</v>
      </c>
    </row>
    <row r="1591" spans="1:13">
      <c r="A1591" t="s">
        <v>344</v>
      </c>
      <c r="B1591" t="s">
        <v>345</v>
      </c>
      <c r="C1591" s="1">
        <v>40071</v>
      </c>
      <c r="D1591" t="s">
        <v>137</v>
      </c>
      <c r="E1591" t="s">
        <v>21</v>
      </c>
      <c r="F1591" t="s">
        <v>76</v>
      </c>
      <c r="G1591" t="s">
        <v>39</v>
      </c>
      <c r="H1591" t="s">
        <v>106</v>
      </c>
      <c r="I1591" t="s">
        <v>190</v>
      </c>
      <c r="J1591" t="s">
        <v>223</v>
      </c>
      <c r="K1591" s="2">
        <v>12.5</v>
      </c>
      <c r="L1591">
        <v>16</v>
      </c>
      <c r="M1591">
        <f t="shared" si="24"/>
        <v>200</v>
      </c>
    </row>
    <row r="1592" spans="1:13">
      <c r="A1592" t="s">
        <v>344</v>
      </c>
      <c r="B1592" t="s">
        <v>345</v>
      </c>
      <c r="C1592" s="1">
        <v>40071</v>
      </c>
      <c r="D1592" t="s">
        <v>110</v>
      </c>
      <c r="E1592" t="s">
        <v>21</v>
      </c>
      <c r="F1592" t="s">
        <v>74</v>
      </c>
      <c r="G1592" t="s">
        <v>39</v>
      </c>
      <c r="H1592" t="s">
        <v>106</v>
      </c>
      <c r="I1592" t="s">
        <v>190</v>
      </c>
      <c r="J1592" t="s">
        <v>223</v>
      </c>
      <c r="K1592" s="2">
        <v>14</v>
      </c>
      <c r="L1592">
        <v>12</v>
      </c>
      <c r="M1592">
        <f t="shared" si="24"/>
        <v>168</v>
      </c>
    </row>
    <row r="1593" spans="1:13">
      <c r="A1593" t="s">
        <v>344</v>
      </c>
      <c r="B1593" t="s">
        <v>345</v>
      </c>
      <c r="C1593" s="1">
        <v>39496</v>
      </c>
      <c r="D1593" t="s">
        <v>86</v>
      </c>
      <c r="E1593" t="s">
        <v>15</v>
      </c>
      <c r="F1593" t="s">
        <v>54</v>
      </c>
      <c r="G1593" t="s">
        <v>39</v>
      </c>
      <c r="H1593" t="s">
        <v>106</v>
      </c>
      <c r="I1593" t="s">
        <v>190</v>
      </c>
      <c r="J1593" t="s">
        <v>223</v>
      </c>
      <c r="K1593" s="2">
        <v>34</v>
      </c>
      <c r="L1593">
        <v>100</v>
      </c>
      <c r="M1593">
        <f t="shared" si="24"/>
        <v>3400</v>
      </c>
    </row>
    <row r="1594" spans="1:13">
      <c r="A1594" t="s">
        <v>344</v>
      </c>
      <c r="B1594" t="s">
        <v>345</v>
      </c>
      <c r="C1594" s="1">
        <v>39714</v>
      </c>
      <c r="D1594" t="s">
        <v>137</v>
      </c>
      <c r="E1594" t="s">
        <v>89</v>
      </c>
      <c r="F1594" t="s">
        <v>76</v>
      </c>
      <c r="G1594" t="s">
        <v>17</v>
      </c>
      <c r="H1594" t="s">
        <v>106</v>
      </c>
      <c r="I1594" t="s">
        <v>190</v>
      </c>
      <c r="J1594" t="s">
        <v>223</v>
      </c>
      <c r="K1594" s="2">
        <v>10</v>
      </c>
      <c r="L1594">
        <v>60</v>
      </c>
      <c r="M1594">
        <f t="shared" si="24"/>
        <v>600</v>
      </c>
    </row>
    <row r="1595" spans="1:13">
      <c r="A1595" t="s">
        <v>344</v>
      </c>
      <c r="B1595" t="s">
        <v>345</v>
      </c>
      <c r="C1595" s="1">
        <v>39496</v>
      </c>
      <c r="D1595" t="s">
        <v>98</v>
      </c>
      <c r="E1595" t="s">
        <v>15</v>
      </c>
      <c r="F1595" t="s">
        <v>99</v>
      </c>
      <c r="G1595" t="s">
        <v>39</v>
      </c>
      <c r="H1595" t="s">
        <v>106</v>
      </c>
      <c r="I1595" t="s">
        <v>190</v>
      </c>
      <c r="J1595" t="s">
        <v>223</v>
      </c>
      <c r="K1595" s="2">
        <v>4.5</v>
      </c>
      <c r="L1595">
        <v>110</v>
      </c>
      <c r="M1595">
        <f t="shared" si="24"/>
        <v>495</v>
      </c>
    </row>
    <row r="1596" spans="1:13">
      <c r="A1596" t="s">
        <v>344</v>
      </c>
      <c r="B1596" t="s">
        <v>345</v>
      </c>
      <c r="C1596" s="1">
        <v>39714</v>
      </c>
      <c r="D1596" t="s">
        <v>70</v>
      </c>
      <c r="E1596" t="s">
        <v>89</v>
      </c>
      <c r="F1596" t="s">
        <v>61</v>
      </c>
      <c r="G1596" t="s">
        <v>17</v>
      </c>
      <c r="H1596" t="s">
        <v>106</v>
      </c>
      <c r="I1596" t="s">
        <v>190</v>
      </c>
      <c r="J1596" t="s">
        <v>223</v>
      </c>
      <c r="K1596" s="2">
        <v>9.6</v>
      </c>
      <c r="L1596">
        <v>45</v>
      </c>
      <c r="M1596">
        <f t="shared" si="24"/>
        <v>432</v>
      </c>
    </row>
    <row r="1597" spans="1:13">
      <c r="A1597" t="s">
        <v>344</v>
      </c>
      <c r="B1597" t="s">
        <v>345</v>
      </c>
      <c r="C1597" s="1">
        <v>40071</v>
      </c>
      <c r="D1597" t="s">
        <v>85</v>
      </c>
      <c r="E1597" t="s">
        <v>21</v>
      </c>
      <c r="F1597" t="s">
        <v>33</v>
      </c>
      <c r="G1597" t="s">
        <v>39</v>
      </c>
      <c r="H1597" t="s">
        <v>106</v>
      </c>
      <c r="I1597" t="s">
        <v>190</v>
      </c>
      <c r="J1597" t="s">
        <v>223</v>
      </c>
      <c r="K1597" s="2">
        <v>53</v>
      </c>
      <c r="L1597">
        <v>120</v>
      </c>
      <c r="M1597">
        <f t="shared" si="24"/>
        <v>6360</v>
      </c>
    </row>
    <row r="1598" spans="1:13">
      <c r="A1598" t="s">
        <v>344</v>
      </c>
      <c r="B1598" t="s">
        <v>345</v>
      </c>
      <c r="C1598" s="1">
        <v>39573</v>
      </c>
      <c r="D1598" t="s">
        <v>133</v>
      </c>
      <c r="E1598" t="s">
        <v>24</v>
      </c>
      <c r="F1598" t="s">
        <v>134</v>
      </c>
      <c r="G1598" t="s">
        <v>39</v>
      </c>
      <c r="H1598" t="s">
        <v>106</v>
      </c>
      <c r="I1598" t="s">
        <v>190</v>
      </c>
      <c r="J1598" t="s">
        <v>223</v>
      </c>
      <c r="K1598" s="2">
        <v>9.65</v>
      </c>
      <c r="L1598">
        <v>40</v>
      </c>
      <c r="M1598">
        <f t="shared" si="24"/>
        <v>386</v>
      </c>
    </row>
    <row r="1599" spans="1:13">
      <c r="A1599" t="s">
        <v>344</v>
      </c>
      <c r="B1599" t="s">
        <v>345</v>
      </c>
      <c r="C1599" s="1">
        <v>39573</v>
      </c>
      <c r="D1599" t="s">
        <v>169</v>
      </c>
      <c r="E1599" t="s">
        <v>24</v>
      </c>
      <c r="F1599" t="s">
        <v>97</v>
      </c>
      <c r="G1599" t="s">
        <v>39</v>
      </c>
      <c r="H1599" t="s">
        <v>106</v>
      </c>
      <c r="I1599" t="s">
        <v>190</v>
      </c>
      <c r="J1599" t="s">
        <v>223</v>
      </c>
      <c r="K1599" s="2">
        <v>16.25</v>
      </c>
      <c r="L1599">
        <v>22</v>
      </c>
      <c r="M1599">
        <f t="shared" si="24"/>
        <v>357.5</v>
      </c>
    </row>
    <row r="1600" spans="1:13">
      <c r="A1600" t="s">
        <v>344</v>
      </c>
      <c r="B1600" t="s">
        <v>345</v>
      </c>
      <c r="C1600" s="1">
        <v>39573</v>
      </c>
      <c r="D1600" t="s">
        <v>147</v>
      </c>
      <c r="E1600" t="s">
        <v>24</v>
      </c>
      <c r="F1600" t="s">
        <v>51</v>
      </c>
      <c r="G1600" t="s">
        <v>39</v>
      </c>
      <c r="H1600" t="s">
        <v>106</v>
      </c>
      <c r="I1600" t="s">
        <v>190</v>
      </c>
      <c r="J1600" t="s">
        <v>223</v>
      </c>
      <c r="K1600" s="2">
        <v>33.25</v>
      </c>
      <c r="L1600">
        <v>130</v>
      </c>
      <c r="M1600">
        <f t="shared" si="24"/>
        <v>4322.5</v>
      </c>
    </row>
    <row r="1601" spans="1:13">
      <c r="A1601" t="s">
        <v>344</v>
      </c>
      <c r="B1601" t="s">
        <v>345</v>
      </c>
      <c r="C1601" s="1">
        <v>39474</v>
      </c>
      <c r="D1601" t="s">
        <v>124</v>
      </c>
      <c r="E1601" t="s">
        <v>15</v>
      </c>
      <c r="F1601" t="s">
        <v>125</v>
      </c>
      <c r="G1601" t="s">
        <v>39</v>
      </c>
      <c r="H1601" t="s">
        <v>106</v>
      </c>
      <c r="I1601" t="s">
        <v>190</v>
      </c>
      <c r="J1601" t="s">
        <v>223</v>
      </c>
      <c r="K1601" s="2">
        <v>6</v>
      </c>
      <c r="L1601">
        <v>65</v>
      </c>
      <c r="M1601">
        <f t="shared" si="24"/>
        <v>390</v>
      </c>
    </row>
    <row r="1602" spans="1:13">
      <c r="A1602" t="s">
        <v>344</v>
      </c>
      <c r="B1602" t="s">
        <v>345</v>
      </c>
      <c r="C1602" s="1">
        <v>39474</v>
      </c>
      <c r="D1602" t="s">
        <v>102</v>
      </c>
      <c r="E1602" t="s">
        <v>15</v>
      </c>
      <c r="F1602" t="s">
        <v>47</v>
      </c>
      <c r="G1602" t="s">
        <v>39</v>
      </c>
      <c r="H1602" t="s">
        <v>106</v>
      </c>
      <c r="I1602" t="s">
        <v>190</v>
      </c>
      <c r="J1602" t="s">
        <v>223</v>
      </c>
      <c r="K1602" s="2">
        <v>31</v>
      </c>
      <c r="L1602">
        <v>100</v>
      </c>
      <c r="M1602">
        <f t="shared" si="24"/>
        <v>3100</v>
      </c>
    </row>
    <row r="1603" spans="1:13">
      <c r="A1603" t="s">
        <v>344</v>
      </c>
      <c r="B1603" t="s">
        <v>345</v>
      </c>
      <c r="C1603" s="1">
        <v>39854</v>
      </c>
      <c r="D1603" t="s">
        <v>14</v>
      </c>
      <c r="E1603" t="s">
        <v>15</v>
      </c>
      <c r="F1603" t="s">
        <v>16</v>
      </c>
      <c r="G1603" t="s">
        <v>17</v>
      </c>
      <c r="H1603" t="s">
        <v>106</v>
      </c>
      <c r="I1603" t="s">
        <v>190</v>
      </c>
      <c r="J1603" t="s">
        <v>223</v>
      </c>
      <c r="K1603" s="2">
        <v>5.9</v>
      </c>
      <c r="L1603">
        <v>80</v>
      </c>
      <c r="M1603">
        <f t="shared" ref="M1603:M1666" si="25">K1603*L1603</f>
        <v>472</v>
      </c>
    </row>
    <row r="1604" spans="1:13">
      <c r="A1604" t="s">
        <v>344</v>
      </c>
      <c r="B1604" t="s">
        <v>345</v>
      </c>
      <c r="C1604" s="1">
        <v>39496</v>
      </c>
      <c r="D1604" t="s">
        <v>109</v>
      </c>
      <c r="E1604" t="s">
        <v>15</v>
      </c>
      <c r="F1604" t="s">
        <v>56</v>
      </c>
      <c r="G1604" t="s">
        <v>39</v>
      </c>
      <c r="H1604" t="s">
        <v>106</v>
      </c>
      <c r="I1604" t="s">
        <v>190</v>
      </c>
      <c r="J1604" t="s">
        <v>223</v>
      </c>
      <c r="K1604" s="2">
        <v>18</v>
      </c>
      <c r="L1604">
        <v>45</v>
      </c>
      <c r="M1604">
        <f t="shared" si="25"/>
        <v>810</v>
      </c>
    </row>
    <row r="1605" spans="1:13">
      <c r="A1605" t="s">
        <v>344</v>
      </c>
      <c r="B1605" t="s">
        <v>345</v>
      </c>
      <c r="C1605" s="1">
        <v>40095</v>
      </c>
      <c r="D1605" t="s">
        <v>116</v>
      </c>
      <c r="E1605" t="s">
        <v>24</v>
      </c>
      <c r="F1605" t="s">
        <v>22</v>
      </c>
      <c r="G1605" t="s">
        <v>17</v>
      </c>
      <c r="H1605" t="s">
        <v>106</v>
      </c>
      <c r="I1605" t="s">
        <v>190</v>
      </c>
      <c r="J1605" t="s">
        <v>223</v>
      </c>
      <c r="K1605" s="2">
        <v>15</v>
      </c>
      <c r="L1605">
        <v>8</v>
      </c>
      <c r="M1605">
        <f t="shared" si="25"/>
        <v>120</v>
      </c>
    </row>
    <row r="1606" spans="1:13">
      <c r="A1606" t="s">
        <v>344</v>
      </c>
      <c r="B1606" t="s">
        <v>345</v>
      </c>
      <c r="C1606" s="1">
        <v>39551</v>
      </c>
      <c r="D1606" t="s">
        <v>116</v>
      </c>
      <c r="E1606" t="s">
        <v>103</v>
      </c>
      <c r="F1606" t="s">
        <v>22</v>
      </c>
      <c r="G1606" t="s">
        <v>39</v>
      </c>
      <c r="H1606" t="s">
        <v>106</v>
      </c>
      <c r="I1606" t="s">
        <v>190</v>
      </c>
      <c r="J1606" t="s">
        <v>223</v>
      </c>
      <c r="K1606" s="2">
        <v>15</v>
      </c>
      <c r="L1606">
        <v>30</v>
      </c>
      <c r="M1606">
        <f t="shared" si="25"/>
        <v>450</v>
      </c>
    </row>
    <row r="1607" spans="1:13">
      <c r="A1607" t="s">
        <v>344</v>
      </c>
      <c r="B1607" t="s">
        <v>345</v>
      </c>
      <c r="C1607" s="1">
        <v>39551</v>
      </c>
      <c r="D1607" t="s">
        <v>52</v>
      </c>
      <c r="E1607" t="s">
        <v>103</v>
      </c>
      <c r="F1607" t="s">
        <v>54</v>
      </c>
      <c r="G1607" t="s">
        <v>39</v>
      </c>
      <c r="H1607" t="s">
        <v>106</v>
      </c>
      <c r="I1607" t="s">
        <v>190</v>
      </c>
      <c r="J1607" t="s">
        <v>223</v>
      </c>
      <c r="K1607" s="2">
        <v>55</v>
      </c>
      <c r="L1607">
        <v>110</v>
      </c>
      <c r="M1607">
        <f t="shared" si="25"/>
        <v>6050</v>
      </c>
    </row>
    <row r="1608" spans="1:13">
      <c r="A1608" t="s">
        <v>344</v>
      </c>
      <c r="B1608" t="s">
        <v>345</v>
      </c>
      <c r="C1608" s="1">
        <v>39551</v>
      </c>
      <c r="D1608" t="s">
        <v>151</v>
      </c>
      <c r="E1608" t="s">
        <v>103</v>
      </c>
      <c r="F1608" t="s">
        <v>37</v>
      </c>
      <c r="G1608" t="s">
        <v>39</v>
      </c>
      <c r="H1608" t="s">
        <v>106</v>
      </c>
      <c r="I1608" t="s">
        <v>190</v>
      </c>
      <c r="J1608" t="s">
        <v>223</v>
      </c>
      <c r="K1608" s="2">
        <v>10</v>
      </c>
      <c r="L1608">
        <v>25</v>
      </c>
      <c r="M1608">
        <f t="shared" si="25"/>
        <v>250</v>
      </c>
    </row>
    <row r="1609" spans="1:13">
      <c r="A1609" t="s">
        <v>344</v>
      </c>
      <c r="B1609" t="s">
        <v>345</v>
      </c>
      <c r="C1609" s="1">
        <v>39652</v>
      </c>
      <c r="D1609" t="s">
        <v>179</v>
      </c>
      <c r="E1609" t="s">
        <v>103</v>
      </c>
      <c r="F1609" t="s">
        <v>47</v>
      </c>
      <c r="G1609" t="s">
        <v>17</v>
      </c>
      <c r="H1609" t="s">
        <v>106</v>
      </c>
      <c r="I1609" t="s">
        <v>190</v>
      </c>
      <c r="J1609" t="s">
        <v>223</v>
      </c>
      <c r="K1609" s="2">
        <v>8</v>
      </c>
      <c r="L1609">
        <v>36</v>
      </c>
      <c r="M1609">
        <f t="shared" si="25"/>
        <v>288</v>
      </c>
    </row>
    <row r="1610" spans="1:13">
      <c r="A1610" t="s">
        <v>344</v>
      </c>
      <c r="B1610" t="s">
        <v>345</v>
      </c>
      <c r="C1610" s="1">
        <v>39652</v>
      </c>
      <c r="D1610" t="s">
        <v>83</v>
      </c>
      <c r="E1610" t="s">
        <v>103</v>
      </c>
      <c r="F1610" t="s">
        <v>84</v>
      </c>
      <c r="G1610" t="s">
        <v>17</v>
      </c>
      <c r="H1610" t="s">
        <v>106</v>
      </c>
      <c r="I1610" t="s">
        <v>190</v>
      </c>
      <c r="J1610" t="s">
        <v>223</v>
      </c>
      <c r="K1610" s="2">
        <v>20.7</v>
      </c>
      <c r="L1610">
        <v>60</v>
      </c>
      <c r="M1610">
        <f t="shared" si="25"/>
        <v>1242</v>
      </c>
    </row>
    <row r="1611" spans="1:13">
      <c r="A1611" t="s">
        <v>344</v>
      </c>
      <c r="B1611" t="s">
        <v>345</v>
      </c>
      <c r="C1611" s="1">
        <v>39652</v>
      </c>
      <c r="D1611" t="s">
        <v>98</v>
      </c>
      <c r="E1611" t="s">
        <v>103</v>
      </c>
      <c r="F1611" t="s">
        <v>99</v>
      </c>
      <c r="G1611" t="s">
        <v>17</v>
      </c>
      <c r="H1611" t="s">
        <v>106</v>
      </c>
      <c r="I1611" t="s">
        <v>190</v>
      </c>
      <c r="J1611" t="s">
        <v>223</v>
      </c>
      <c r="K1611" s="2">
        <v>3.6</v>
      </c>
      <c r="L1611">
        <v>28</v>
      </c>
      <c r="M1611">
        <f t="shared" si="25"/>
        <v>100.8</v>
      </c>
    </row>
    <row r="1612" spans="1:13">
      <c r="A1612" t="s">
        <v>344</v>
      </c>
      <c r="B1612" t="s">
        <v>345</v>
      </c>
      <c r="C1612" s="1">
        <v>39652</v>
      </c>
      <c r="D1612" t="s">
        <v>20</v>
      </c>
      <c r="E1612" t="s">
        <v>103</v>
      </c>
      <c r="F1612" t="s">
        <v>22</v>
      </c>
      <c r="G1612" t="s">
        <v>17</v>
      </c>
      <c r="H1612" t="s">
        <v>106</v>
      </c>
      <c r="I1612" t="s">
        <v>190</v>
      </c>
      <c r="J1612" t="s">
        <v>223</v>
      </c>
      <c r="K1612" s="2">
        <v>13.9</v>
      </c>
      <c r="L1612">
        <v>60</v>
      </c>
      <c r="M1612">
        <f t="shared" si="25"/>
        <v>834</v>
      </c>
    </row>
    <row r="1613" spans="1:13">
      <c r="A1613" t="s">
        <v>344</v>
      </c>
      <c r="B1613" t="s">
        <v>345</v>
      </c>
      <c r="C1613" s="1">
        <v>40066</v>
      </c>
      <c r="D1613" t="s">
        <v>48</v>
      </c>
      <c r="E1613" t="s">
        <v>21</v>
      </c>
      <c r="F1613" t="s">
        <v>22</v>
      </c>
      <c r="G1613" t="s">
        <v>39</v>
      </c>
      <c r="H1613" t="s">
        <v>106</v>
      </c>
      <c r="I1613" t="s">
        <v>190</v>
      </c>
      <c r="J1613" t="s">
        <v>223</v>
      </c>
      <c r="K1613" s="2">
        <v>39</v>
      </c>
      <c r="L1613">
        <v>33</v>
      </c>
      <c r="M1613">
        <f t="shared" si="25"/>
        <v>1287</v>
      </c>
    </row>
    <row r="1614" spans="1:13">
      <c r="A1614" t="s">
        <v>344</v>
      </c>
      <c r="B1614" t="s">
        <v>345</v>
      </c>
      <c r="C1614" s="1">
        <v>39815</v>
      </c>
      <c r="D1614" t="s">
        <v>130</v>
      </c>
      <c r="E1614" t="s">
        <v>67</v>
      </c>
      <c r="F1614" t="s">
        <v>118</v>
      </c>
      <c r="G1614" t="s">
        <v>17</v>
      </c>
      <c r="H1614" t="s">
        <v>106</v>
      </c>
      <c r="I1614" t="s">
        <v>190</v>
      </c>
      <c r="J1614" t="s">
        <v>223</v>
      </c>
      <c r="K1614" s="2">
        <v>7.2</v>
      </c>
      <c r="L1614">
        <v>60</v>
      </c>
      <c r="M1614">
        <f t="shared" si="25"/>
        <v>432</v>
      </c>
    </row>
    <row r="1615" spans="1:13">
      <c r="A1615" t="s">
        <v>344</v>
      </c>
      <c r="B1615" t="s">
        <v>345</v>
      </c>
      <c r="C1615" s="1">
        <v>39714</v>
      </c>
      <c r="D1615" t="s">
        <v>75</v>
      </c>
      <c r="E1615" t="s">
        <v>89</v>
      </c>
      <c r="F1615" t="s">
        <v>76</v>
      </c>
      <c r="G1615" t="s">
        <v>17</v>
      </c>
      <c r="H1615" t="s">
        <v>106</v>
      </c>
      <c r="I1615" t="s">
        <v>190</v>
      </c>
      <c r="J1615" t="s">
        <v>223</v>
      </c>
      <c r="K1615" s="2">
        <v>27.8</v>
      </c>
      <c r="L1615">
        <v>24</v>
      </c>
      <c r="M1615">
        <f t="shared" si="25"/>
        <v>667.2</v>
      </c>
    </row>
    <row r="1616" spans="1:13">
      <c r="A1616" t="s">
        <v>344</v>
      </c>
      <c r="B1616" t="s">
        <v>345</v>
      </c>
      <c r="C1616" s="1">
        <v>40095</v>
      </c>
      <c r="D1616" t="s">
        <v>95</v>
      </c>
      <c r="E1616" t="s">
        <v>24</v>
      </c>
      <c r="F1616" t="s">
        <v>27</v>
      </c>
      <c r="G1616" t="s">
        <v>17</v>
      </c>
      <c r="H1616" t="s">
        <v>106</v>
      </c>
      <c r="I1616" t="s">
        <v>190</v>
      </c>
      <c r="J1616" t="s">
        <v>223</v>
      </c>
      <c r="K1616" s="2">
        <v>21.05</v>
      </c>
      <c r="L1616">
        <v>65</v>
      </c>
      <c r="M1616">
        <f t="shared" si="25"/>
        <v>1368.25</v>
      </c>
    </row>
    <row r="1617" spans="1:13">
      <c r="A1617" t="s">
        <v>344</v>
      </c>
      <c r="B1617" t="s">
        <v>345</v>
      </c>
      <c r="C1617" s="1">
        <v>40095</v>
      </c>
      <c r="D1617" t="s">
        <v>88</v>
      </c>
      <c r="E1617" t="s">
        <v>24</v>
      </c>
      <c r="F1617" t="s">
        <v>51</v>
      </c>
      <c r="G1617" t="s">
        <v>17</v>
      </c>
      <c r="H1617" t="s">
        <v>106</v>
      </c>
      <c r="I1617" t="s">
        <v>190</v>
      </c>
      <c r="J1617" t="s">
        <v>223</v>
      </c>
      <c r="K1617" s="2">
        <v>123.79</v>
      </c>
      <c r="L1617">
        <v>12</v>
      </c>
      <c r="M1617">
        <f t="shared" si="25"/>
        <v>1485.48</v>
      </c>
    </row>
    <row r="1618" spans="1:13">
      <c r="A1618" t="s">
        <v>344</v>
      </c>
      <c r="B1618" t="s">
        <v>345</v>
      </c>
      <c r="C1618" s="1">
        <v>39496</v>
      </c>
      <c r="D1618" t="s">
        <v>185</v>
      </c>
      <c r="E1618" t="s">
        <v>15</v>
      </c>
      <c r="F1618" t="s">
        <v>134</v>
      </c>
      <c r="G1618" t="s">
        <v>39</v>
      </c>
      <c r="H1618" t="s">
        <v>106</v>
      </c>
      <c r="I1618" t="s">
        <v>190</v>
      </c>
      <c r="J1618" t="s">
        <v>223</v>
      </c>
      <c r="K1618" s="2">
        <v>18.399999999999999</v>
      </c>
      <c r="L1618">
        <v>91</v>
      </c>
      <c r="M1618">
        <f t="shared" si="25"/>
        <v>1674.3999999999999</v>
      </c>
    </row>
    <row r="1619" spans="1:13">
      <c r="A1619" t="s">
        <v>344</v>
      </c>
      <c r="B1619" t="s">
        <v>345</v>
      </c>
      <c r="C1619" s="1">
        <v>40095</v>
      </c>
      <c r="D1619" t="s">
        <v>48</v>
      </c>
      <c r="E1619" t="s">
        <v>24</v>
      </c>
      <c r="F1619" t="s">
        <v>22</v>
      </c>
      <c r="G1619" t="s">
        <v>17</v>
      </c>
      <c r="H1619" t="s">
        <v>106</v>
      </c>
      <c r="I1619" t="s">
        <v>190</v>
      </c>
      <c r="J1619" t="s">
        <v>223</v>
      </c>
      <c r="K1619" s="2">
        <v>39</v>
      </c>
      <c r="L1619">
        <v>8</v>
      </c>
      <c r="M1619">
        <f t="shared" si="25"/>
        <v>312</v>
      </c>
    </row>
    <row r="1620" spans="1:13">
      <c r="A1620" t="s">
        <v>344</v>
      </c>
      <c r="B1620" t="s">
        <v>345</v>
      </c>
      <c r="C1620" s="1">
        <v>40095</v>
      </c>
      <c r="D1620" t="s">
        <v>131</v>
      </c>
      <c r="E1620" t="s">
        <v>24</v>
      </c>
      <c r="F1620" t="s">
        <v>132</v>
      </c>
      <c r="G1620" t="s">
        <v>17</v>
      </c>
      <c r="H1620" t="s">
        <v>106</v>
      </c>
      <c r="I1620" t="s">
        <v>190</v>
      </c>
      <c r="J1620" t="s">
        <v>223</v>
      </c>
      <c r="K1620" s="2">
        <v>21</v>
      </c>
      <c r="L1620">
        <v>15</v>
      </c>
      <c r="M1620">
        <f t="shared" si="25"/>
        <v>315</v>
      </c>
    </row>
    <row r="1621" spans="1:13">
      <c r="A1621" t="s">
        <v>344</v>
      </c>
      <c r="B1621" t="s">
        <v>345</v>
      </c>
      <c r="C1621" s="1">
        <v>39714</v>
      </c>
      <c r="D1621" t="s">
        <v>44</v>
      </c>
      <c r="E1621" t="s">
        <v>89</v>
      </c>
      <c r="F1621" t="s">
        <v>45</v>
      </c>
      <c r="G1621" t="s">
        <v>17</v>
      </c>
      <c r="H1621" t="s">
        <v>106</v>
      </c>
      <c r="I1621" t="s">
        <v>190</v>
      </c>
      <c r="J1621" t="s">
        <v>223</v>
      </c>
      <c r="K1621" s="2">
        <v>14.4</v>
      </c>
      <c r="L1621">
        <v>40</v>
      </c>
      <c r="M1621">
        <f t="shared" si="25"/>
        <v>576</v>
      </c>
    </row>
    <row r="1622" spans="1:13">
      <c r="A1622" t="s">
        <v>344</v>
      </c>
      <c r="B1622" t="s">
        <v>345</v>
      </c>
      <c r="C1622" s="1">
        <v>39854</v>
      </c>
      <c r="D1622" t="s">
        <v>131</v>
      </c>
      <c r="E1622" t="s">
        <v>15</v>
      </c>
      <c r="F1622" t="s">
        <v>132</v>
      </c>
      <c r="G1622" t="s">
        <v>17</v>
      </c>
      <c r="H1622" t="s">
        <v>106</v>
      </c>
      <c r="I1622" t="s">
        <v>190</v>
      </c>
      <c r="J1622" t="s">
        <v>223</v>
      </c>
      <c r="K1622" s="2">
        <v>16.8</v>
      </c>
      <c r="L1622">
        <v>30</v>
      </c>
      <c r="M1622">
        <f t="shared" si="25"/>
        <v>504</v>
      </c>
    </row>
    <row r="1623" spans="1:13">
      <c r="A1623" t="s">
        <v>344</v>
      </c>
      <c r="B1623" t="s">
        <v>345</v>
      </c>
      <c r="C1623" s="1">
        <v>39815</v>
      </c>
      <c r="D1623" t="s">
        <v>72</v>
      </c>
      <c r="E1623" t="s">
        <v>67</v>
      </c>
      <c r="F1623" t="s">
        <v>22</v>
      </c>
      <c r="G1623" t="s">
        <v>17</v>
      </c>
      <c r="H1623" t="s">
        <v>106</v>
      </c>
      <c r="I1623" t="s">
        <v>190</v>
      </c>
      <c r="J1623" t="s">
        <v>223</v>
      </c>
      <c r="K1623" s="2">
        <v>35.1</v>
      </c>
      <c r="L1623">
        <v>65</v>
      </c>
      <c r="M1623">
        <f t="shared" si="25"/>
        <v>2281.5</v>
      </c>
    </row>
    <row r="1624" spans="1:13">
      <c r="A1624" t="s">
        <v>344</v>
      </c>
      <c r="B1624" t="s">
        <v>345</v>
      </c>
      <c r="C1624" s="1">
        <v>39530</v>
      </c>
      <c r="D1624" t="s">
        <v>98</v>
      </c>
      <c r="E1624" t="s">
        <v>21</v>
      </c>
      <c r="F1624" t="s">
        <v>99</v>
      </c>
      <c r="G1624" t="s">
        <v>39</v>
      </c>
      <c r="H1624" t="s">
        <v>106</v>
      </c>
      <c r="I1624" t="s">
        <v>190</v>
      </c>
      <c r="J1624" t="s">
        <v>223</v>
      </c>
      <c r="K1624" s="2">
        <v>4.5</v>
      </c>
      <c r="L1624">
        <v>30</v>
      </c>
      <c r="M1624">
        <f t="shared" si="25"/>
        <v>135</v>
      </c>
    </row>
    <row r="1625" spans="1:13">
      <c r="A1625" t="s">
        <v>344</v>
      </c>
      <c r="B1625" t="s">
        <v>345</v>
      </c>
      <c r="C1625" s="1">
        <v>39843</v>
      </c>
      <c r="D1625" t="s">
        <v>62</v>
      </c>
      <c r="E1625" t="s">
        <v>24</v>
      </c>
      <c r="F1625" t="s">
        <v>63</v>
      </c>
      <c r="G1625" t="s">
        <v>17</v>
      </c>
      <c r="H1625" t="s">
        <v>106</v>
      </c>
      <c r="I1625" t="s">
        <v>190</v>
      </c>
      <c r="J1625" t="s">
        <v>223</v>
      </c>
      <c r="K1625" s="2">
        <v>30.4</v>
      </c>
      <c r="L1625">
        <v>30</v>
      </c>
      <c r="M1625">
        <f t="shared" si="25"/>
        <v>912</v>
      </c>
    </row>
    <row r="1626" spans="1:13">
      <c r="A1626" t="s">
        <v>344</v>
      </c>
      <c r="B1626" t="s">
        <v>345</v>
      </c>
      <c r="C1626" s="1">
        <v>39854</v>
      </c>
      <c r="D1626" t="s">
        <v>152</v>
      </c>
      <c r="E1626" t="s">
        <v>15</v>
      </c>
      <c r="F1626" t="s">
        <v>27</v>
      </c>
      <c r="G1626" t="s">
        <v>17</v>
      </c>
      <c r="H1626" t="s">
        <v>106</v>
      </c>
      <c r="I1626" t="s">
        <v>190</v>
      </c>
      <c r="J1626" t="s">
        <v>223</v>
      </c>
      <c r="K1626" s="2">
        <v>13.6</v>
      </c>
      <c r="L1626">
        <v>60</v>
      </c>
      <c r="M1626">
        <f t="shared" si="25"/>
        <v>816</v>
      </c>
    </row>
    <row r="1627" spans="1:13">
      <c r="A1627" t="s">
        <v>344</v>
      </c>
      <c r="B1627" t="s">
        <v>345</v>
      </c>
      <c r="C1627" s="1">
        <v>39533</v>
      </c>
      <c r="D1627" t="s">
        <v>87</v>
      </c>
      <c r="E1627" t="s">
        <v>67</v>
      </c>
      <c r="F1627" t="s">
        <v>25</v>
      </c>
      <c r="G1627" t="s">
        <v>39</v>
      </c>
      <c r="H1627" t="s">
        <v>106</v>
      </c>
      <c r="I1627" t="s">
        <v>190</v>
      </c>
      <c r="J1627" t="s">
        <v>223</v>
      </c>
      <c r="K1627" s="2">
        <v>30</v>
      </c>
      <c r="L1627">
        <v>18</v>
      </c>
      <c r="M1627">
        <f t="shared" si="25"/>
        <v>540</v>
      </c>
    </row>
    <row r="1628" spans="1:13">
      <c r="A1628" t="s">
        <v>344</v>
      </c>
      <c r="B1628" t="s">
        <v>345</v>
      </c>
      <c r="C1628" s="1">
        <v>39533</v>
      </c>
      <c r="D1628" t="s">
        <v>154</v>
      </c>
      <c r="E1628" t="s">
        <v>67</v>
      </c>
      <c r="F1628" t="s">
        <v>132</v>
      </c>
      <c r="G1628" t="s">
        <v>39</v>
      </c>
      <c r="H1628" t="s">
        <v>106</v>
      </c>
      <c r="I1628" t="s">
        <v>190</v>
      </c>
      <c r="J1628" t="s">
        <v>223</v>
      </c>
      <c r="K1628" s="2">
        <v>38</v>
      </c>
      <c r="L1628">
        <v>20</v>
      </c>
      <c r="M1628">
        <f t="shared" si="25"/>
        <v>760</v>
      </c>
    </row>
    <row r="1629" spans="1:13">
      <c r="A1629" t="s">
        <v>344</v>
      </c>
      <c r="B1629" t="s">
        <v>345</v>
      </c>
      <c r="C1629" s="1">
        <v>39533</v>
      </c>
      <c r="D1629" t="s">
        <v>98</v>
      </c>
      <c r="E1629" t="s">
        <v>67</v>
      </c>
      <c r="F1629" t="s">
        <v>99</v>
      </c>
      <c r="G1629" t="s">
        <v>39</v>
      </c>
      <c r="H1629" t="s">
        <v>106</v>
      </c>
      <c r="I1629" t="s">
        <v>190</v>
      </c>
      <c r="J1629" t="s">
        <v>223</v>
      </c>
      <c r="K1629" s="2">
        <v>4.5</v>
      </c>
      <c r="L1629">
        <v>80</v>
      </c>
      <c r="M1629">
        <f t="shared" si="25"/>
        <v>360</v>
      </c>
    </row>
    <row r="1630" spans="1:13">
      <c r="A1630" t="s">
        <v>344</v>
      </c>
      <c r="B1630" t="s">
        <v>345</v>
      </c>
      <c r="C1630" s="1">
        <v>39816</v>
      </c>
      <c r="D1630" t="s">
        <v>20</v>
      </c>
      <c r="E1630" t="s">
        <v>24</v>
      </c>
      <c r="F1630" t="s">
        <v>22</v>
      </c>
      <c r="G1630" t="s">
        <v>17</v>
      </c>
      <c r="H1630" t="s">
        <v>106</v>
      </c>
      <c r="I1630" t="s">
        <v>190</v>
      </c>
      <c r="J1630" t="s">
        <v>223</v>
      </c>
      <c r="K1630" s="2">
        <v>13.9</v>
      </c>
      <c r="L1630">
        <v>21</v>
      </c>
      <c r="M1630">
        <f t="shared" si="25"/>
        <v>291.90000000000003</v>
      </c>
    </row>
    <row r="1631" spans="1:13">
      <c r="A1631" t="s">
        <v>344</v>
      </c>
      <c r="B1631" t="s">
        <v>345</v>
      </c>
      <c r="C1631" s="1">
        <v>39816</v>
      </c>
      <c r="D1631" t="s">
        <v>100</v>
      </c>
      <c r="E1631" t="s">
        <v>24</v>
      </c>
      <c r="F1631" t="s">
        <v>101</v>
      </c>
      <c r="G1631" t="s">
        <v>17</v>
      </c>
      <c r="H1631" t="s">
        <v>106</v>
      </c>
      <c r="I1631" t="s">
        <v>190</v>
      </c>
      <c r="J1631" t="s">
        <v>223</v>
      </c>
      <c r="K1631" s="2">
        <v>10.199999999999999</v>
      </c>
      <c r="L1631">
        <v>70</v>
      </c>
      <c r="M1631">
        <f t="shared" si="25"/>
        <v>714</v>
      </c>
    </row>
    <row r="1632" spans="1:13">
      <c r="A1632" t="s">
        <v>344</v>
      </c>
      <c r="B1632" t="s">
        <v>345</v>
      </c>
      <c r="C1632" s="1">
        <v>39731</v>
      </c>
      <c r="D1632" t="s">
        <v>55</v>
      </c>
      <c r="E1632" t="s">
        <v>21</v>
      </c>
      <c r="F1632" t="s">
        <v>56</v>
      </c>
      <c r="G1632" t="s">
        <v>17</v>
      </c>
      <c r="H1632" t="s">
        <v>106</v>
      </c>
      <c r="I1632" t="s">
        <v>190</v>
      </c>
      <c r="J1632" t="s">
        <v>223</v>
      </c>
      <c r="K1632" s="2">
        <v>210.8</v>
      </c>
      <c r="L1632">
        <v>20</v>
      </c>
      <c r="M1632">
        <f t="shared" si="25"/>
        <v>4216</v>
      </c>
    </row>
    <row r="1633" spans="1:13">
      <c r="A1633" t="s">
        <v>344</v>
      </c>
      <c r="B1633" t="s">
        <v>345</v>
      </c>
      <c r="C1633" s="1">
        <v>39530</v>
      </c>
      <c r="D1633" t="s">
        <v>147</v>
      </c>
      <c r="E1633" t="s">
        <v>21</v>
      </c>
      <c r="F1633" t="s">
        <v>51</v>
      </c>
      <c r="G1633" t="s">
        <v>39</v>
      </c>
      <c r="H1633" t="s">
        <v>106</v>
      </c>
      <c r="I1633" t="s">
        <v>190</v>
      </c>
      <c r="J1633" t="s">
        <v>223</v>
      </c>
      <c r="K1633" s="2">
        <v>33.25</v>
      </c>
      <c r="L1633">
        <v>4</v>
      </c>
      <c r="M1633">
        <f t="shared" si="25"/>
        <v>133</v>
      </c>
    </row>
    <row r="1634" spans="1:13">
      <c r="A1634" t="s">
        <v>344</v>
      </c>
      <c r="B1634" t="s">
        <v>345</v>
      </c>
      <c r="C1634" s="1">
        <v>39843</v>
      </c>
      <c r="D1634" t="s">
        <v>52</v>
      </c>
      <c r="E1634" t="s">
        <v>24</v>
      </c>
      <c r="F1634" t="s">
        <v>54</v>
      </c>
      <c r="G1634" t="s">
        <v>17</v>
      </c>
      <c r="H1634" t="s">
        <v>106</v>
      </c>
      <c r="I1634" t="s">
        <v>190</v>
      </c>
      <c r="J1634" t="s">
        <v>223</v>
      </c>
      <c r="K1634" s="2">
        <v>44</v>
      </c>
      <c r="L1634">
        <v>70</v>
      </c>
      <c r="M1634">
        <f t="shared" si="25"/>
        <v>3080</v>
      </c>
    </row>
    <row r="1635" spans="1:13">
      <c r="A1635" t="s">
        <v>344</v>
      </c>
      <c r="B1635" t="s">
        <v>345</v>
      </c>
      <c r="C1635" s="1">
        <v>39646</v>
      </c>
      <c r="D1635" t="s">
        <v>36</v>
      </c>
      <c r="E1635" t="s">
        <v>21</v>
      </c>
      <c r="F1635" t="s">
        <v>37</v>
      </c>
      <c r="G1635" t="s">
        <v>17</v>
      </c>
      <c r="H1635" t="s">
        <v>106</v>
      </c>
      <c r="I1635" t="s">
        <v>190</v>
      </c>
      <c r="J1635" t="s">
        <v>223</v>
      </c>
      <c r="K1635" s="2">
        <v>15.2</v>
      </c>
      <c r="L1635">
        <v>50</v>
      </c>
      <c r="M1635">
        <f t="shared" si="25"/>
        <v>760</v>
      </c>
    </row>
    <row r="1636" spans="1:13">
      <c r="A1636" t="s">
        <v>344</v>
      </c>
      <c r="B1636" t="s">
        <v>345</v>
      </c>
      <c r="C1636" s="1">
        <v>39646</v>
      </c>
      <c r="D1636" t="s">
        <v>149</v>
      </c>
      <c r="E1636" t="s">
        <v>21</v>
      </c>
      <c r="F1636" t="s">
        <v>27</v>
      </c>
      <c r="G1636" t="s">
        <v>17</v>
      </c>
      <c r="H1636" t="s">
        <v>106</v>
      </c>
      <c r="I1636" t="s">
        <v>190</v>
      </c>
      <c r="J1636" t="s">
        <v>223</v>
      </c>
      <c r="K1636" s="2">
        <v>17</v>
      </c>
      <c r="L1636">
        <v>65</v>
      </c>
      <c r="M1636">
        <f t="shared" si="25"/>
        <v>1105</v>
      </c>
    </row>
    <row r="1637" spans="1:13">
      <c r="A1637" t="s">
        <v>344</v>
      </c>
      <c r="B1637" t="s">
        <v>345</v>
      </c>
      <c r="C1637" s="1">
        <v>39646</v>
      </c>
      <c r="D1637" t="s">
        <v>138</v>
      </c>
      <c r="E1637" t="s">
        <v>21</v>
      </c>
      <c r="F1637" t="s">
        <v>76</v>
      </c>
      <c r="G1637" t="s">
        <v>17</v>
      </c>
      <c r="H1637" t="s">
        <v>106</v>
      </c>
      <c r="I1637" t="s">
        <v>190</v>
      </c>
      <c r="J1637" t="s">
        <v>223</v>
      </c>
      <c r="K1637" s="2">
        <v>25.6</v>
      </c>
      <c r="L1637">
        <v>6</v>
      </c>
      <c r="M1637">
        <f t="shared" si="25"/>
        <v>153.60000000000002</v>
      </c>
    </row>
    <row r="1638" spans="1:13">
      <c r="A1638" t="s">
        <v>344</v>
      </c>
      <c r="B1638" t="s">
        <v>345</v>
      </c>
      <c r="C1638" s="1">
        <v>40080</v>
      </c>
      <c r="D1638" t="s">
        <v>48</v>
      </c>
      <c r="E1638" t="s">
        <v>67</v>
      </c>
      <c r="F1638" t="s">
        <v>22</v>
      </c>
      <c r="G1638" t="s">
        <v>39</v>
      </c>
      <c r="H1638" t="s">
        <v>106</v>
      </c>
      <c r="I1638" t="s">
        <v>190</v>
      </c>
      <c r="J1638" t="s">
        <v>223</v>
      </c>
      <c r="K1638" s="2">
        <v>39</v>
      </c>
      <c r="L1638">
        <v>35</v>
      </c>
      <c r="M1638">
        <f t="shared" si="25"/>
        <v>1365</v>
      </c>
    </row>
    <row r="1639" spans="1:13">
      <c r="A1639" t="s">
        <v>344</v>
      </c>
      <c r="B1639" t="s">
        <v>345</v>
      </c>
      <c r="C1639" s="1">
        <v>40080</v>
      </c>
      <c r="D1639" t="s">
        <v>20</v>
      </c>
      <c r="E1639" t="s">
        <v>67</v>
      </c>
      <c r="F1639" t="s">
        <v>22</v>
      </c>
      <c r="G1639" t="s">
        <v>39</v>
      </c>
      <c r="H1639" t="s">
        <v>106</v>
      </c>
      <c r="I1639" t="s">
        <v>190</v>
      </c>
      <c r="J1639" t="s">
        <v>223</v>
      </c>
      <c r="K1639" s="2">
        <v>17.45</v>
      </c>
      <c r="L1639">
        <v>65</v>
      </c>
      <c r="M1639">
        <f t="shared" si="25"/>
        <v>1134.25</v>
      </c>
    </row>
    <row r="1640" spans="1:13">
      <c r="A1640" t="s">
        <v>344</v>
      </c>
      <c r="B1640" t="s">
        <v>345</v>
      </c>
      <c r="C1640" s="1">
        <v>39530</v>
      </c>
      <c r="D1640" t="s">
        <v>154</v>
      </c>
      <c r="E1640" t="s">
        <v>21</v>
      </c>
      <c r="F1640" t="s">
        <v>132</v>
      </c>
      <c r="G1640" t="s">
        <v>39</v>
      </c>
      <c r="H1640" t="s">
        <v>106</v>
      </c>
      <c r="I1640" t="s">
        <v>190</v>
      </c>
      <c r="J1640" t="s">
        <v>223</v>
      </c>
      <c r="K1640" s="2">
        <v>38</v>
      </c>
      <c r="L1640">
        <v>30</v>
      </c>
      <c r="M1640">
        <f t="shared" si="25"/>
        <v>1140</v>
      </c>
    </row>
    <row r="1641" spans="1:13">
      <c r="A1641" t="s">
        <v>344</v>
      </c>
      <c r="B1641" t="s">
        <v>345</v>
      </c>
      <c r="C1641" s="1">
        <v>40066</v>
      </c>
      <c r="D1641" t="s">
        <v>121</v>
      </c>
      <c r="E1641" t="s">
        <v>103</v>
      </c>
      <c r="F1641" t="s">
        <v>41</v>
      </c>
      <c r="G1641" t="s">
        <v>39</v>
      </c>
      <c r="H1641" t="s">
        <v>106</v>
      </c>
      <c r="I1641" t="s">
        <v>190</v>
      </c>
      <c r="J1641" t="s">
        <v>223</v>
      </c>
      <c r="K1641" s="2">
        <v>21.5</v>
      </c>
      <c r="L1641">
        <v>16</v>
      </c>
      <c r="M1641">
        <f t="shared" si="25"/>
        <v>344</v>
      </c>
    </row>
    <row r="1642" spans="1:13">
      <c r="A1642" t="s">
        <v>344</v>
      </c>
      <c r="B1642" t="s">
        <v>345</v>
      </c>
      <c r="C1642" s="1">
        <v>40065</v>
      </c>
      <c r="D1642" t="s">
        <v>121</v>
      </c>
      <c r="E1642" t="s">
        <v>50</v>
      </c>
      <c r="F1642" t="s">
        <v>41</v>
      </c>
      <c r="G1642" t="s">
        <v>17</v>
      </c>
      <c r="H1642" t="s">
        <v>106</v>
      </c>
      <c r="I1642" t="s">
        <v>190</v>
      </c>
      <c r="J1642" t="s">
        <v>223</v>
      </c>
      <c r="K1642" s="2">
        <v>21.5</v>
      </c>
      <c r="L1642">
        <v>14</v>
      </c>
      <c r="M1642">
        <f t="shared" si="25"/>
        <v>301</v>
      </c>
    </row>
    <row r="1643" spans="1:13">
      <c r="A1643" t="s">
        <v>344</v>
      </c>
      <c r="B1643" t="s">
        <v>345</v>
      </c>
      <c r="C1643" s="1">
        <v>39843</v>
      </c>
      <c r="D1643" t="s">
        <v>48</v>
      </c>
      <c r="E1643" t="s">
        <v>24</v>
      </c>
      <c r="F1643" t="s">
        <v>22</v>
      </c>
      <c r="G1643" t="s">
        <v>17</v>
      </c>
      <c r="H1643" t="s">
        <v>106</v>
      </c>
      <c r="I1643" t="s">
        <v>190</v>
      </c>
      <c r="J1643" t="s">
        <v>223</v>
      </c>
      <c r="K1643" s="2">
        <v>31.2</v>
      </c>
      <c r="L1643">
        <v>45</v>
      </c>
      <c r="M1643">
        <f t="shared" si="25"/>
        <v>1404</v>
      </c>
    </row>
    <row r="1644" spans="1:13">
      <c r="A1644" t="s">
        <v>344</v>
      </c>
      <c r="B1644" t="s">
        <v>345</v>
      </c>
      <c r="C1644" s="1">
        <v>40059</v>
      </c>
      <c r="D1644" t="s">
        <v>109</v>
      </c>
      <c r="E1644" t="s">
        <v>89</v>
      </c>
      <c r="F1644" t="s">
        <v>56</v>
      </c>
      <c r="G1644" t="s">
        <v>39</v>
      </c>
      <c r="H1644" t="s">
        <v>106</v>
      </c>
      <c r="I1644" t="s">
        <v>190</v>
      </c>
      <c r="J1644" t="s">
        <v>223</v>
      </c>
      <c r="K1644" s="2">
        <v>18</v>
      </c>
      <c r="L1644">
        <v>130</v>
      </c>
      <c r="M1644">
        <f t="shared" si="25"/>
        <v>2340</v>
      </c>
    </row>
    <row r="1645" spans="1:13">
      <c r="A1645" t="s">
        <v>344</v>
      </c>
      <c r="B1645" t="s">
        <v>345</v>
      </c>
      <c r="C1645" s="1">
        <v>39731</v>
      </c>
      <c r="D1645" t="s">
        <v>133</v>
      </c>
      <c r="E1645" t="s">
        <v>21</v>
      </c>
      <c r="F1645" t="s">
        <v>134</v>
      </c>
      <c r="G1645" t="s">
        <v>17</v>
      </c>
      <c r="H1645" t="s">
        <v>106</v>
      </c>
      <c r="I1645" t="s">
        <v>190</v>
      </c>
      <c r="J1645" t="s">
        <v>223</v>
      </c>
      <c r="K1645" s="2">
        <v>7.7</v>
      </c>
      <c r="L1645">
        <v>13</v>
      </c>
      <c r="M1645">
        <f t="shared" si="25"/>
        <v>100.10000000000001</v>
      </c>
    </row>
    <row r="1646" spans="1:13">
      <c r="A1646" t="s">
        <v>344</v>
      </c>
      <c r="B1646" t="s">
        <v>345</v>
      </c>
      <c r="C1646" s="1">
        <v>39731</v>
      </c>
      <c r="D1646" t="s">
        <v>73</v>
      </c>
      <c r="E1646" t="s">
        <v>21</v>
      </c>
      <c r="F1646" t="s">
        <v>74</v>
      </c>
      <c r="G1646" t="s">
        <v>17</v>
      </c>
      <c r="H1646" t="s">
        <v>106</v>
      </c>
      <c r="I1646" t="s">
        <v>190</v>
      </c>
      <c r="J1646" t="s">
        <v>223</v>
      </c>
      <c r="K1646" s="2">
        <v>15.5</v>
      </c>
      <c r="L1646">
        <v>77</v>
      </c>
      <c r="M1646">
        <f t="shared" si="25"/>
        <v>1193.5</v>
      </c>
    </row>
    <row r="1647" spans="1:13">
      <c r="A1647" t="s">
        <v>344</v>
      </c>
      <c r="B1647" t="s">
        <v>345</v>
      </c>
      <c r="C1647" s="1">
        <v>39731</v>
      </c>
      <c r="D1647" t="s">
        <v>95</v>
      </c>
      <c r="E1647" t="s">
        <v>21</v>
      </c>
      <c r="F1647" t="s">
        <v>27</v>
      </c>
      <c r="G1647" t="s">
        <v>17</v>
      </c>
      <c r="H1647" t="s">
        <v>106</v>
      </c>
      <c r="I1647" t="s">
        <v>190</v>
      </c>
      <c r="J1647" t="s">
        <v>223</v>
      </c>
      <c r="K1647" s="2">
        <v>16.8</v>
      </c>
      <c r="L1647">
        <v>10</v>
      </c>
      <c r="M1647">
        <f t="shared" si="25"/>
        <v>168</v>
      </c>
    </row>
    <row r="1648" spans="1:13">
      <c r="A1648" t="s">
        <v>344</v>
      </c>
      <c r="B1648" t="s">
        <v>345</v>
      </c>
      <c r="C1648" s="1">
        <v>39843</v>
      </c>
      <c r="D1648" t="s">
        <v>34</v>
      </c>
      <c r="E1648" t="s">
        <v>24</v>
      </c>
      <c r="F1648" t="s">
        <v>35</v>
      </c>
      <c r="G1648" t="s">
        <v>17</v>
      </c>
      <c r="H1648" t="s">
        <v>106</v>
      </c>
      <c r="I1648" t="s">
        <v>190</v>
      </c>
      <c r="J1648" t="s">
        <v>223</v>
      </c>
      <c r="K1648" s="2">
        <v>8</v>
      </c>
      <c r="L1648">
        <v>50</v>
      </c>
      <c r="M1648">
        <f t="shared" si="25"/>
        <v>400</v>
      </c>
    </row>
    <row r="1649" spans="1:13">
      <c r="A1649" t="s">
        <v>344</v>
      </c>
      <c r="B1649" t="s">
        <v>345</v>
      </c>
      <c r="C1649" s="1">
        <v>40059</v>
      </c>
      <c r="D1649" t="s">
        <v>151</v>
      </c>
      <c r="E1649" t="s">
        <v>89</v>
      </c>
      <c r="F1649" t="s">
        <v>37</v>
      </c>
      <c r="G1649" t="s">
        <v>39</v>
      </c>
      <c r="H1649" t="s">
        <v>106</v>
      </c>
      <c r="I1649" t="s">
        <v>190</v>
      </c>
      <c r="J1649" t="s">
        <v>223</v>
      </c>
      <c r="K1649" s="2">
        <v>10</v>
      </c>
      <c r="L1649">
        <v>20</v>
      </c>
      <c r="M1649">
        <f t="shared" si="25"/>
        <v>200</v>
      </c>
    </row>
    <row r="1650" spans="1:13">
      <c r="A1650" t="s">
        <v>344</v>
      </c>
      <c r="B1650" t="s">
        <v>345</v>
      </c>
      <c r="C1650" s="1">
        <v>39704</v>
      </c>
      <c r="D1650" t="s">
        <v>179</v>
      </c>
      <c r="E1650" t="s">
        <v>24</v>
      </c>
      <c r="F1650" t="s">
        <v>47</v>
      </c>
      <c r="G1650" t="s">
        <v>17</v>
      </c>
      <c r="H1650" t="s">
        <v>106</v>
      </c>
      <c r="I1650" t="s">
        <v>190</v>
      </c>
      <c r="J1650" t="s">
        <v>223</v>
      </c>
      <c r="K1650" s="2">
        <v>8</v>
      </c>
      <c r="L1650">
        <v>50</v>
      </c>
      <c r="M1650">
        <f t="shared" si="25"/>
        <v>400</v>
      </c>
    </row>
    <row r="1651" spans="1:13">
      <c r="A1651" t="s">
        <v>344</v>
      </c>
      <c r="B1651" t="s">
        <v>345</v>
      </c>
      <c r="C1651" s="1">
        <v>39704</v>
      </c>
      <c r="D1651" t="s">
        <v>149</v>
      </c>
      <c r="E1651" t="s">
        <v>24</v>
      </c>
      <c r="F1651" t="s">
        <v>27</v>
      </c>
      <c r="G1651" t="s">
        <v>17</v>
      </c>
      <c r="H1651" t="s">
        <v>106</v>
      </c>
      <c r="I1651" t="s">
        <v>190</v>
      </c>
      <c r="J1651" t="s">
        <v>223</v>
      </c>
      <c r="K1651" s="2">
        <v>17</v>
      </c>
      <c r="L1651">
        <v>32</v>
      </c>
      <c r="M1651">
        <f t="shared" si="25"/>
        <v>544</v>
      </c>
    </row>
    <row r="1652" spans="1:13">
      <c r="A1652" t="s">
        <v>344</v>
      </c>
      <c r="B1652" t="s">
        <v>345</v>
      </c>
      <c r="C1652" s="1">
        <v>39704</v>
      </c>
      <c r="D1652" t="s">
        <v>42</v>
      </c>
      <c r="E1652" t="s">
        <v>24</v>
      </c>
      <c r="F1652" t="s">
        <v>22</v>
      </c>
      <c r="G1652" t="s">
        <v>17</v>
      </c>
      <c r="H1652" t="s">
        <v>106</v>
      </c>
      <c r="I1652" t="s">
        <v>190</v>
      </c>
      <c r="J1652" t="s">
        <v>223</v>
      </c>
      <c r="K1652" s="2">
        <v>50</v>
      </c>
      <c r="L1652">
        <v>9</v>
      </c>
      <c r="M1652">
        <f t="shared" si="25"/>
        <v>450</v>
      </c>
    </row>
    <row r="1653" spans="1:13">
      <c r="A1653" t="s">
        <v>344</v>
      </c>
      <c r="B1653" t="s">
        <v>345</v>
      </c>
      <c r="C1653" s="1">
        <v>39704</v>
      </c>
      <c r="D1653" t="s">
        <v>88</v>
      </c>
      <c r="E1653" t="s">
        <v>24</v>
      </c>
      <c r="F1653" t="s">
        <v>51</v>
      </c>
      <c r="G1653" t="s">
        <v>17</v>
      </c>
      <c r="H1653" t="s">
        <v>106</v>
      </c>
      <c r="I1653" t="s">
        <v>190</v>
      </c>
      <c r="J1653" t="s">
        <v>223</v>
      </c>
      <c r="K1653" s="2">
        <v>99</v>
      </c>
      <c r="L1653">
        <v>14</v>
      </c>
      <c r="M1653">
        <f t="shared" si="25"/>
        <v>1386</v>
      </c>
    </row>
    <row r="1654" spans="1:13">
      <c r="A1654" t="s">
        <v>344</v>
      </c>
      <c r="B1654" t="s">
        <v>345</v>
      </c>
      <c r="C1654" s="1">
        <v>39704</v>
      </c>
      <c r="D1654" t="s">
        <v>40</v>
      </c>
      <c r="E1654" t="s">
        <v>24</v>
      </c>
      <c r="F1654" t="s">
        <v>41</v>
      </c>
      <c r="G1654" t="s">
        <v>17</v>
      </c>
      <c r="H1654" t="s">
        <v>106</v>
      </c>
      <c r="I1654" t="s">
        <v>190</v>
      </c>
      <c r="J1654" t="s">
        <v>223</v>
      </c>
      <c r="K1654" s="2">
        <v>2</v>
      </c>
      <c r="L1654">
        <v>60</v>
      </c>
      <c r="M1654">
        <f t="shared" si="25"/>
        <v>120</v>
      </c>
    </row>
    <row r="1655" spans="1:13">
      <c r="A1655" t="s">
        <v>344</v>
      </c>
      <c r="B1655" t="s">
        <v>345</v>
      </c>
      <c r="C1655" s="1">
        <v>39925</v>
      </c>
      <c r="D1655" t="s">
        <v>71</v>
      </c>
      <c r="E1655" t="s">
        <v>15</v>
      </c>
      <c r="F1655" t="s">
        <v>51</v>
      </c>
      <c r="G1655" t="s">
        <v>17</v>
      </c>
      <c r="H1655" t="s">
        <v>106</v>
      </c>
      <c r="I1655" t="s">
        <v>190</v>
      </c>
      <c r="J1655" t="s">
        <v>223</v>
      </c>
      <c r="K1655" s="2">
        <v>7.75</v>
      </c>
      <c r="L1655">
        <v>50</v>
      </c>
      <c r="M1655">
        <f t="shared" si="25"/>
        <v>387.5</v>
      </c>
    </row>
    <row r="1656" spans="1:13">
      <c r="A1656" t="s">
        <v>344</v>
      </c>
      <c r="B1656" t="s">
        <v>345</v>
      </c>
      <c r="C1656" s="1">
        <v>39925</v>
      </c>
      <c r="D1656" t="s">
        <v>95</v>
      </c>
      <c r="E1656" t="s">
        <v>15</v>
      </c>
      <c r="F1656" t="s">
        <v>27</v>
      </c>
      <c r="G1656" t="s">
        <v>17</v>
      </c>
      <c r="H1656" t="s">
        <v>106</v>
      </c>
      <c r="I1656" t="s">
        <v>190</v>
      </c>
      <c r="J1656" t="s">
        <v>223</v>
      </c>
      <c r="K1656" s="2">
        <v>21.05</v>
      </c>
      <c r="L1656">
        <v>39</v>
      </c>
      <c r="M1656">
        <f t="shared" si="25"/>
        <v>820.95</v>
      </c>
    </row>
    <row r="1657" spans="1:13">
      <c r="A1657" t="s">
        <v>344</v>
      </c>
      <c r="B1657" t="s">
        <v>345</v>
      </c>
      <c r="C1657" s="1">
        <v>39925</v>
      </c>
      <c r="D1657" t="s">
        <v>62</v>
      </c>
      <c r="E1657" t="s">
        <v>15</v>
      </c>
      <c r="F1657" t="s">
        <v>63</v>
      </c>
      <c r="G1657" t="s">
        <v>17</v>
      </c>
      <c r="H1657" t="s">
        <v>106</v>
      </c>
      <c r="I1657" t="s">
        <v>190</v>
      </c>
      <c r="J1657" t="s">
        <v>223</v>
      </c>
      <c r="K1657" s="2">
        <v>38</v>
      </c>
      <c r="L1657">
        <v>70</v>
      </c>
      <c r="M1657">
        <f t="shared" si="25"/>
        <v>2660</v>
      </c>
    </row>
    <row r="1658" spans="1:13">
      <c r="A1658" t="s">
        <v>344</v>
      </c>
      <c r="B1658" t="s">
        <v>345</v>
      </c>
      <c r="C1658" s="1">
        <v>39925</v>
      </c>
      <c r="D1658" t="s">
        <v>77</v>
      </c>
      <c r="E1658" t="s">
        <v>15</v>
      </c>
      <c r="F1658" t="s">
        <v>51</v>
      </c>
      <c r="G1658" t="s">
        <v>17</v>
      </c>
      <c r="H1658" t="s">
        <v>106</v>
      </c>
      <c r="I1658" t="s">
        <v>190</v>
      </c>
      <c r="J1658" t="s">
        <v>223</v>
      </c>
      <c r="K1658" s="2">
        <v>45.6</v>
      </c>
      <c r="L1658">
        <v>35</v>
      </c>
      <c r="M1658">
        <f t="shared" si="25"/>
        <v>1596</v>
      </c>
    </row>
    <row r="1659" spans="1:13">
      <c r="A1659" t="s">
        <v>344</v>
      </c>
      <c r="B1659" t="s">
        <v>345</v>
      </c>
      <c r="C1659" s="1">
        <v>39925</v>
      </c>
      <c r="D1659" t="s">
        <v>136</v>
      </c>
      <c r="E1659" t="s">
        <v>15</v>
      </c>
      <c r="F1659" t="s">
        <v>35</v>
      </c>
      <c r="G1659" t="s">
        <v>17</v>
      </c>
      <c r="H1659" t="s">
        <v>106</v>
      </c>
      <c r="I1659" t="s">
        <v>190</v>
      </c>
      <c r="J1659" t="s">
        <v>223</v>
      </c>
      <c r="K1659" s="2">
        <v>81</v>
      </c>
      <c r="L1659">
        <v>39</v>
      </c>
      <c r="M1659">
        <f t="shared" si="25"/>
        <v>3159</v>
      </c>
    </row>
    <row r="1660" spans="1:13">
      <c r="A1660" t="s">
        <v>346</v>
      </c>
      <c r="B1660" t="s">
        <v>347</v>
      </c>
      <c r="C1660" s="1">
        <v>40087</v>
      </c>
      <c r="D1660" t="s">
        <v>77</v>
      </c>
      <c r="E1660" t="s">
        <v>24</v>
      </c>
      <c r="F1660" t="s">
        <v>51</v>
      </c>
      <c r="G1660" t="s">
        <v>17</v>
      </c>
      <c r="H1660" t="s">
        <v>199</v>
      </c>
      <c r="J1660" t="s">
        <v>348</v>
      </c>
      <c r="K1660" s="2">
        <v>45.6</v>
      </c>
      <c r="L1660">
        <v>60</v>
      </c>
      <c r="M1660">
        <f t="shared" si="25"/>
        <v>2736</v>
      </c>
    </row>
    <row r="1661" spans="1:13">
      <c r="A1661" t="s">
        <v>346</v>
      </c>
      <c r="B1661" t="s">
        <v>347</v>
      </c>
      <c r="C1661" s="1">
        <v>39877</v>
      </c>
      <c r="D1661" t="s">
        <v>169</v>
      </c>
      <c r="E1661" t="s">
        <v>21</v>
      </c>
      <c r="F1661" t="s">
        <v>97</v>
      </c>
      <c r="G1661" t="s">
        <v>17</v>
      </c>
      <c r="H1661" t="s">
        <v>199</v>
      </c>
      <c r="J1661" t="s">
        <v>348</v>
      </c>
      <c r="K1661" s="2">
        <v>13</v>
      </c>
      <c r="L1661">
        <v>25</v>
      </c>
      <c r="M1661">
        <f t="shared" si="25"/>
        <v>325</v>
      </c>
    </row>
    <row r="1662" spans="1:13">
      <c r="A1662" t="s">
        <v>346</v>
      </c>
      <c r="B1662" t="s">
        <v>347</v>
      </c>
      <c r="C1662" s="1">
        <v>40087</v>
      </c>
      <c r="D1662" t="s">
        <v>59</v>
      </c>
      <c r="E1662" t="s">
        <v>24</v>
      </c>
      <c r="F1662" t="s">
        <v>45</v>
      </c>
      <c r="G1662" t="s">
        <v>17</v>
      </c>
      <c r="H1662" t="s">
        <v>199</v>
      </c>
      <c r="J1662" t="s">
        <v>348</v>
      </c>
      <c r="K1662" s="2">
        <v>14</v>
      </c>
      <c r="L1662">
        <v>14</v>
      </c>
      <c r="M1662">
        <f t="shared" si="25"/>
        <v>196</v>
      </c>
    </row>
    <row r="1663" spans="1:13">
      <c r="A1663" t="s">
        <v>346</v>
      </c>
      <c r="B1663" t="s">
        <v>347</v>
      </c>
      <c r="C1663" s="1">
        <v>39516</v>
      </c>
      <c r="D1663" t="s">
        <v>102</v>
      </c>
      <c r="E1663" t="s">
        <v>21</v>
      </c>
      <c r="F1663" t="s">
        <v>47</v>
      </c>
      <c r="G1663" t="s">
        <v>39</v>
      </c>
      <c r="H1663" t="s">
        <v>199</v>
      </c>
      <c r="J1663" t="s">
        <v>348</v>
      </c>
      <c r="K1663" s="2">
        <v>31</v>
      </c>
      <c r="L1663">
        <v>25</v>
      </c>
      <c r="M1663">
        <f t="shared" si="25"/>
        <v>775</v>
      </c>
    </row>
    <row r="1664" spans="1:13">
      <c r="A1664" t="s">
        <v>346</v>
      </c>
      <c r="B1664" t="s">
        <v>347</v>
      </c>
      <c r="C1664" s="1">
        <v>39516</v>
      </c>
      <c r="D1664" t="s">
        <v>98</v>
      </c>
      <c r="E1664" t="s">
        <v>21</v>
      </c>
      <c r="F1664" t="s">
        <v>99</v>
      </c>
      <c r="G1664" t="s">
        <v>39</v>
      </c>
      <c r="H1664" t="s">
        <v>199</v>
      </c>
      <c r="J1664" t="s">
        <v>348</v>
      </c>
      <c r="K1664" s="2">
        <v>4.5</v>
      </c>
      <c r="L1664">
        <v>25</v>
      </c>
      <c r="M1664">
        <f t="shared" si="25"/>
        <v>112.5</v>
      </c>
    </row>
    <row r="1665" spans="1:13">
      <c r="A1665" t="s">
        <v>346</v>
      </c>
      <c r="B1665" t="s">
        <v>347</v>
      </c>
      <c r="C1665" s="1">
        <v>39516</v>
      </c>
      <c r="D1665" t="s">
        <v>49</v>
      </c>
      <c r="E1665" t="s">
        <v>21</v>
      </c>
      <c r="F1665" t="s">
        <v>51</v>
      </c>
      <c r="G1665" t="s">
        <v>39</v>
      </c>
      <c r="H1665" t="s">
        <v>199</v>
      </c>
      <c r="J1665" t="s">
        <v>348</v>
      </c>
      <c r="K1665" s="2">
        <v>13</v>
      </c>
      <c r="L1665">
        <v>40</v>
      </c>
      <c r="M1665">
        <f t="shared" si="25"/>
        <v>520</v>
      </c>
    </row>
    <row r="1666" spans="1:13">
      <c r="A1666" t="s">
        <v>346</v>
      </c>
      <c r="B1666" t="s">
        <v>347</v>
      </c>
      <c r="C1666" s="1">
        <v>40087</v>
      </c>
      <c r="D1666" t="s">
        <v>102</v>
      </c>
      <c r="E1666" t="s">
        <v>24</v>
      </c>
      <c r="F1666" t="s">
        <v>47</v>
      </c>
      <c r="G1666" t="s">
        <v>17</v>
      </c>
      <c r="H1666" t="s">
        <v>199</v>
      </c>
      <c r="J1666" t="s">
        <v>348</v>
      </c>
      <c r="K1666" s="2">
        <v>31</v>
      </c>
      <c r="L1666">
        <v>18</v>
      </c>
      <c r="M1666">
        <f t="shared" si="25"/>
        <v>558</v>
      </c>
    </row>
    <row r="1667" spans="1:13">
      <c r="A1667" t="s">
        <v>346</v>
      </c>
      <c r="B1667" t="s">
        <v>347</v>
      </c>
      <c r="C1667" s="1">
        <v>39510</v>
      </c>
      <c r="D1667" t="s">
        <v>44</v>
      </c>
      <c r="E1667" t="s">
        <v>21</v>
      </c>
      <c r="F1667" t="s">
        <v>45</v>
      </c>
      <c r="G1667" t="s">
        <v>39</v>
      </c>
      <c r="H1667" t="s">
        <v>199</v>
      </c>
      <c r="J1667" t="s">
        <v>348</v>
      </c>
      <c r="K1667" s="2">
        <v>18</v>
      </c>
      <c r="L1667">
        <v>10</v>
      </c>
      <c r="M1667">
        <f t="shared" ref="M1667:M1730" si="26">K1667*L1667</f>
        <v>180</v>
      </c>
    </row>
    <row r="1668" spans="1:13">
      <c r="A1668" t="s">
        <v>346</v>
      </c>
      <c r="B1668" t="s">
        <v>347</v>
      </c>
      <c r="C1668" s="1">
        <v>39749</v>
      </c>
      <c r="D1668" t="s">
        <v>59</v>
      </c>
      <c r="E1668" t="s">
        <v>50</v>
      </c>
      <c r="F1668" t="s">
        <v>45</v>
      </c>
      <c r="G1668" t="s">
        <v>17</v>
      </c>
      <c r="H1668" t="s">
        <v>199</v>
      </c>
      <c r="J1668" t="s">
        <v>348</v>
      </c>
      <c r="K1668" s="2">
        <v>11.2</v>
      </c>
      <c r="L1668">
        <v>36</v>
      </c>
      <c r="M1668">
        <f t="shared" si="26"/>
        <v>403.2</v>
      </c>
    </row>
    <row r="1669" spans="1:13">
      <c r="A1669" t="s">
        <v>346</v>
      </c>
      <c r="B1669" t="s">
        <v>347</v>
      </c>
      <c r="C1669" s="1">
        <v>40086</v>
      </c>
      <c r="D1669" t="s">
        <v>82</v>
      </c>
      <c r="E1669" t="s">
        <v>67</v>
      </c>
      <c r="F1669" t="s">
        <v>35</v>
      </c>
      <c r="G1669" t="s">
        <v>17</v>
      </c>
      <c r="H1669" t="s">
        <v>199</v>
      </c>
      <c r="J1669" t="s">
        <v>348</v>
      </c>
      <c r="K1669" s="2">
        <v>10</v>
      </c>
      <c r="L1669">
        <v>60</v>
      </c>
      <c r="M1669">
        <f t="shared" si="26"/>
        <v>600</v>
      </c>
    </row>
    <row r="1670" spans="1:13">
      <c r="A1670" t="s">
        <v>346</v>
      </c>
      <c r="B1670" t="s">
        <v>347</v>
      </c>
      <c r="C1670" s="1">
        <v>40086</v>
      </c>
      <c r="D1670" t="s">
        <v>121</v>
      </c>
      <c r="E1670" t="s">
        <v>67</v>
      </c>
      <c r="F1670" t="s">
        <v>41</v>
      </c>
      <c r="G1670" t="s">
        <v>17</v>
      </c>
      <c r="H1670" t="s">
        <v>199</v>
      </c>
      <c r="J1670" t="s">
        <v>348</v>
      </c>
      <c r="K1670" s="2">
        <v>17.2</v>
      </c>
      <c r="L1670">
        <v>30</v>
      </c>
      <c r="M1670">
        <f t="shared" si="26"/>
        <v>516</v>
      </c>
    </row>
    <row r="1671" spans="1:13">
      <c r="A1671" t="s">
        <v>346</v>
      </c>
      <c r="B1671" t="s">
        <v>347</v>
      </c>
      <c r="C1671" s="1">
        <v>40086</v>
      </c>
      <c r="D1671" t="s">
        <v>96</v>
      </c>
      <c r="E1671" t="s">
        <v>67</v>
      </c>
      <c r="F1671" t="s">
        <v>97</v>
      </c>
      <c r="G1671" t="s">
        <v>17</v>
      </c>
      <c r="H1671" t="s">
        <v>199</v>
      </c>
      <c r="J1671" t="s">
        <v>348</v>
      </c>
      <c r="K1671" s="2">
        <v>14.4</v>
      </c>
      <c r="L1671">
        <v>35</v>
      </c>
      <c r="M1671">
        <f t="shared" si="26"/>
        <v>504</v>
      </c>
    </row>
    <row r="1672" spans="1:13">
      <c r="A1672" t="s">
        <v>346</v>
      </c>
      <c r="B1672" t="s">
        <v>347</v>
      </c>
      <c r="C1672" s="1">
        <v>40086</v>
      </c>
      <c r="D1672" t="s">
        <v>49</v>
      </c>
      <c r="E1672" t="s">
        <v>67</v>
      </c>
      <c r="F1672" t="s">
        <v>51</v>
      </c>
      <c r="G1672" t="s">
        <v>17</v>
      </c>
      <c r="H1672" t="s">
        <v>199</v>
      </c>
      <c r="J1672" t="s">
        <v>348</v>
      </c>
      <c r="K1672" s="2">
        <v>10.4</v>
      </c>
      <c r="L1672">
        <v>14</v>
      </c>
      <c r="M1672">
        <f t="shared" si="26"/>
        <v>145.6</v>
      </c>
    </row>
    <row r="1673" spans="1:13">
      <c r="A1673" t="s">
        <v>346</v>
      </c>
      <c r="B1673" t="s">
        <v>347</v>
      </c>
      <c r="C1673" s="1">
        <v>39877</v>
      </c>
      <c r="D1673" t="s">
        <v>60</v>
      </c>
      <c r="E1673" t="s">
        <v>21</v>
      </c>
      <c r="F1673" t="s">
        <v>61</v>
      </c>
      <c r="G1673" t="s">
        <v>17</v>
      </c>
      <c r="H1673" t="s">
        <v>199</v>
      </c>
      <c r="J1673" t="s">
        <v>348</v>
      </c>
      <c r="K1673" s="2">
        <v>7.6</v>
      </c>
      <c r="L1673">
        <v>30</v>
      </c>
      <c r="M1673">
        <f t="shared" si="26"/>
        <v>228</v>
      </c>
    </row>
    <row r="1674" spans="1:13">
      <c r="A1674" t="s">
        <v>346</v>
      </c>
      <c r="B1674" t="s">
        <v>347</v>
      </c>
      <c r="C1674" s="1">
        <v>39749</v>
      </c>
      <c r="D1674" t="s">
        <v>14</v>
      </c>
      <c r="E1674" t="s">
        <v>50</v>
      </c>
      <c r="F1674" t="s">
        <v>16</v>
      </c>
      <c r="G1674" t="s">
        <v>17</v>
      </c>
      <c r="H1674" t="s">
        <v>199</v>
      </c>
      <c r="J1674" t="s">
        <v>348</v>
      </c>
      <c r="K1674" s="2">
        <v>5.9</v>
      </c>
      <c r="L1674">
        <v>18</v>
      </c>
      <c r="M1674">
        <f t="shared" si="26"/>
        <v>106.2</v>
      </c>
    </row>
    <row r="1675" spans="1:13">
      <c r="A1675" t="s">
        <v>346</v>
      </c>
      <c r="B1675" t="s">
        <v>347</v>
      </c>
      <c r="C1675" s="1">
        <v>39749</v>
      </c>
      <c r="D1675" t="s">
        <v>95</v>
      </c>
      <c r="E1675" t="s">
        <v>50</v>
      </c>
      <c r="F1675" t="s">
        <v>27</v>
      </c>
      <c r="G1675" t="s">
        <v>17</v>
      </c>
      <c r="H1675" t="s">
        <v>199</v>
      </c>
      <c r="J1675" t="s">
        <v>348</v>
      </c>
      <c r="K1675" s="2">
        <v>16.8</v>
      </c>
      <c r="L1675">
        <v>15</v>
      </c>
      <c r="M1675">
        <f t="shared" si="26"/>
        <v>252</v>
      </c>
    </row>
    <row r="1676" spans="1:13">
      <c r="A1676" t="s">
        <v>346</v>
      </c>
      <c r="B1676" t="s">
        <v>347</v>
      </c>
      <c r="C1676" s="1">
        <v>39749</v>
      </c>
      <c r="D1676" t="s">
        <v>49</v>
      </c>
      <c r="E1676" t="s">
        <v>50</v>
      </c>
      <c r="F1676" t="s">
        <v>51</v>
      </c>
      <c r="G1676" t="s">
        <v>17</v>
      </c>
      <c r="H1676" t="s">
        <v>199</v>
      </c>
      <c r="J1676" t="s">
        <v>348</v>
      </c>
      <c r="K1676" s="2">
        <v>10.4</v>
      </c>
      <c r="L1676">
        <v>7</v>
      </c>
      <c r="M1676">
        <f t="shared" si="26"/>
        <v>72.8</v>
      </c>
    </row>
    <row r="1677" spans="1:13">
      <c r="A1677" t="s">
        <v>346</v>
      </c>
      <c r="B1677" t="s">
        <v>347</v>
      </c>
      <c r="C1677" s="1">
        <v>40103</v>
      </c>
      <c r="D1677" t="s">
        <v>185</v>
      </c>
      <c r="E1677" t="s">
        <v>89</v>
      </c>
      <c r="F1677" t="s">
        <v>134</v>
      </c>
      <c r="G1677" t="s">
        <v>17</v>
      </c>
      <c r="H1677" t="s">
        <v>199</v>
      </c>
      <c r="J1677" t="s">
        <v>348</v>
      </c>
      <c r="K1677" s="2">
        <v>18.399999999999999</v>
      </c>
      <c r="L1677">
        <v>50</v>
      </c>
      <c r="M1677">
        <f t="shared" si="26"/>
        <v>919.99999999999989</v>
      </c>
    </row>
    <row r="1678" spans="1:13">
      <c r="A1678" t="s">
        <v>346</v>
      </c>
      <c r="B1678" t="s">
        <v>347</v>
      </c>
      <c r="C1678" s="1">
        <v>39510</v>
      </c>
      <c r="D1678" t="s">
        <v>72</v>
      </c>
      <c r="E1678" t="s">
        <v>21</v>
      </c>
      <c r="F1678" t="s">
        <v>22</v>
      </c>
      <c r="G1678" t="s">
        <v>39</v>
      </c>
      <c r="H1678" t="s">
        <v>199</v>
      </c>
      <c r="J1678" t="s">
        <v>348</v>
      </c>
      <c r="K1678" s="2">
        <v>43.9</v>
      </c>
      <c r="L1678">
        <v>40</v>
      </c>
      <c r="M1678">
        <f t="shared" si="26"/>
        <v>1756</v>
      </c>
    </row>
    <row r="1679" spans="1:13">
      <c r="A1679" t="s">
        <v>346</v>
      </c>
      <c r="B1679" t="s">
        <v>347</v>
      </c>
      <c r="C1679" s="1">
        <v>39877</v>
      </c>
      <c r="D1679" t="s">
        <v>98</v>
      </c>
      <c r="E1679" t="s">
        <v>21</v>
      </c>
      <c r="F1679" t="s">
        <v>99</v>
      </c>
      <c r="G1679" t="s">
        <v>17</v>
      </c>
      <c r="H1679" t="s">
        <v>199</v>
      </c>
      <c r="J1679" t="s">
        <v>348</v>
      </c>
      <c r="K1679" s="2">
        <v>3.6</v>
      </c>
      <c r="L1679">
        <v>25</v>
      </c>
      <c r="M1679">
        <f t="shared" si="26"/>
        <v>90</v>
      </c>
    </row>
    <row r="1680" spans="1:13">
      <c r="A1680" t="s">
        <v>346</v>
      </c>
      <c r="B1680" t="s">
        <v>347</v>
      </c>
      <c r="C1680" s="1">
        <v>40064</v>
      </c>
      <c r="D1680" t="s">
        <v>133</v>
      </c>
      <c r="E1680" t="s">
        <v>15</v>
      </c>
      <c r="F1680" t="s">
        <v>134</v>
      </c>
      <c r="G1680" t="s">
        <v>39</v>
      </c>
      <c r="H1680" t="s">
        <v>199</v>
      </c>
      <c r="J1680" t="s">
        <v>348</v>
      </c>
      <c r="K1680" s="2">
        <v>9.65</v>
      </c>
      <c r="L1680">
        <v>30</v>
      </c>
      <c r="M1680">
        <f t="shared" si="26"/>
        <v>289.5</v>
      </c>
    </row>
    <row r="1681" spans="1:13">
      <c r="A1681" t="s">
        <v>346</v>
      </c>
      <c r="B1681" t="s">
        <v>347</v>
      </c>
      <c r="C1681" s="1">
        <v>40001</v>
      </c>
      <c r="D1681" t="s">
        <v>151</v>
      </c>
      <c r="E1681" t="s">
        <v>21</v>
      </c>
      <c r="F1681" t="s">
        <v>37</v>
      </c>
      <c r="G1681" t="s">
        <v>17</v>
      </c>
      <c r="H1681" t="s">
        <v>199</v>
      </c>
      <c r="J1681" t="s">
        <v>348</v>
      </c>
      <c r="K1681" s="2">
        <v>10</v>
      </c>
      <c r="L1681">
        <v>14</v>
      </c>
      <c r="M1681">
        <f t="shared" si="26"/>
        <v>140</v>
      </c>
    </row>
    <row r="1682" spans="1:13">
      <c r="A1682" t="s">
        <v>346</v>
      </c>
      <c r="B1682" t="s">
        <v>347</v>
      </c>
      <c r="C1682" s="1">
        <v>40011</v>
      </c>
      <c r="D1682" t="s">
        <v>49</v>
      </c>
      <c r="E1682" t="s">
        <v>67</v>
      </c>
      <c r="F1682" t="s">
        <v>51</v>
      </c>
      <c r="G1682" t="s">
        <v>17</v>
      </c>
      <c r="H1682" t="s">
        <v>199</v>
      </c>
      <c r="J1682" t="s">
        <v>348</v>
      </c>
      <c r="K1682" s="2">
        <v>13</v>
      </c>
      <c r="L1682">
        <v>5</v>
      </c>
      <c r="M1682">
        <f t="shared" si="26"/>
        <v>65</v>
      </c>
    </row>
    <row r="1683" spans="1:13">
      <c r="A1683" t="s">
        <v>346</v>
      </c>
      <c r="B1683" t="s">
        <v>347</v>
      </c>
      <c r="C1683" s="1">
        <v>40001</v>
      </c>
      <c r="D1683" t="s">
        <v>87</v>
      </c>
      <c r="E1683" t="s">
        <v>21</v>
      </c>
      <c r="F1683" t="s">
        <v>25</v>
      </c>
      <c r="G1683" t="s">
        <v>17</v>
      </c>
      <c r="H1683" t="s">
        <v>199</v>
      </c>
      <c r="J1683" t="s">
        <v>348</v>
      </c>
      <c r="K1683" s="2">
        <v>30</v>
      </c>
      <c r="L1683">
        <v>10</v>
      </c>
      <c r="M1683">
        <f t="shared" si="26"/>
        <v>300</v>
      </c>
    </row>
    <row r="1684" spans="1:13">
      <c r="A1684" t="s">
        <v>346</v>
      </c>
      <c r="B1684" t="s">
        <v>347</v>
      </c>
      <c r="C1684" s="1">
        <v>40064</v>
      </c>
      <c r="D1684" t="s">
        <v>38</v>
      </c>
      <c r="E1684" t="s">
        <v>15</v>
      </c>
      <c r="F1684" t="s">
        <v>29</v>
      </c>
      <c r="G1684" t="s">
        <v>39</v>
      </c>
      <c r="H1684" t="s">
        <v>199</v>
      </c>
      <c r="J1684" t="s">
        <v>348</v>
      </c>
      <c r="K1684" s="2">
        <v>49.3</v>
      </c>
      <c r="L1684">
        <v>15</v>
      </c>
      <c r="M1684">
        <f t="shared" si="26"/>
        <v>739.5</v>
      </c>
    </row>
    <row r="1685" spans="1:13">
      <c r="A1685" t="s">
        <v>346</v>
      </c>
      <c r="B1685" t="s">
        <v>347</v>
      </c>
      <c r="C1685" s="1">
        <v>40001</v>
      </c>
      <c r="D1685" t="s">
        <v>14</v>
      </c>
      <c r="E1685" t="s">
        <v>21</v>
      </c>
      <c r="F1685" t="s">
        <v>16</v>
      </c>
      <c r="G1685" t="s">
        <v>17</v>
      </c>
      <c r="H1685" t="s">
        <v>199</v>
      </c>
      <c r="J1685" t="s">
        <v>348</v>
      </c>
      <c r="K1685" s="2">
        <v>7.45</v>
      </c>
      <c r="L1685">
        <v>50</v>
      </c>
      <c r="M1685">
        <f t="shared" si="26"/>
        <v>372.5</v>
      </c>
    </row>
    <row r="1686" spans="1:13">
      <c r="A1686" t="s">
        <v>346</v>
      </c>
      <c r="B1686" t="s">
        <v>347</v>
      </c>
      <c r="C1686" s="1">
        <v>39540</v>
      </c>
      <c r="D1686" t="s">
        <v>52</v>
      </c>
      <c r="E1686" t="s">
        <v>53</v>
      </c>
      <c r="F1686" t="s">
        <v>54</v>
      </c>
      <c r="G1686" t="s">
        <v>39</v>
      </c>
      <c r="H1686" t="s">
        <v>199</v>
      </c>
      <c r="J1686" t="s">
        <v>348</v>
      </c>
      <c r="K1686" s="2">
        <v>55</v>
      </c>
      <c r="L1686">
        <v>18</v>
      </c>
      <c r="M1686">
        <f t="shared" si="26"/>
        <v>990</v>
      </c>
    </row>
    <row r="1687" spans="1:13">
      <c r="A1687" t="s">
        <v>346</v>
      </c>
      <c r="B1687" t="s">
        <v>347</v>
      </c>
      <c r="C1687" s="1">
        <v>39877</v>
      </c>
      <c r="D1687" t="s">
        <v>185</v>
      </c>
      <c r="E1687" t="s">
        <v>21</v>
      </c>
      <c r="F1687" t="s">
        <v>134</v>
      </c>
      <c r="G1687" t="s">
        <v>17</v>
      </c>
      <c r="H1687" t="s">
        <v>199</v>
      </c>
      <c r="J1687" t="s">
        <v>348</v>
      </c>
      <c r="K1687" s="2">
        <v>14.7</v>
      </c>
      <c r="L1687">
        <v>20</v>
      </c>
      <c r="M1687">
        <f t="shared" si="26"/>
        <v>294</v>
      </c>
    </row>
    <row r="1688" spans="1:13">
      <c r="A1688" t="s">
        <v>346</v>
      </c>
      <c r="B1688" t="s">
        <v>347</v>
      </c>
      <c r="C1688" s="1">
        <v>40064</v>
      </c>
      <c r="D1688" t="s">
        <v>120</v>
      </c>
      <c r="E1688" t="s">
        <v>15</v>
      </c>
      <c r="F1688" t="s">
        <v>33</v>
      </c>
      <c r="G1688" t="s">
        <v>39</v>
      </c>
      <c r="H1688" t="s">
        <v>199</v>
      </c>
      <c r="J1688" t="s">
        <v>348</v>
      </c>
      <c r="K1688" s="2">
        <v>7</v>
      </c>
      <c r="L1688">
        <v>15</v>
      </c>
      <c r="M1688">
        <f t="shared" si="26"/>
        <v>105</v>
      </c>
    </row>
    <row r="1689" spans="1:13">
      <c r="A1689" t="s">
        <v>346</v>
      </c>
      <c r="B1689" t="s">
        <v>347</v>
      </c>
      <c r="C1689" s="1">
        <v>40064</v>
      </c>
      <c r="D1689" t="s">
        <v>28</v>
      </c>
      <c r="E1689" t="s">
        <v>15</v>
      </c>
      <c r="F1689" t="s">
        <v>29</v>
      </c>
      <c r="G1689" t="s">
        <v>39</v>
      </c>
      <c r="H1689" t="s">
        <v>199</v>
      </c>
      <c r="J1689" t="s">
        <v>348</v>
      </c>
      <c r="K1689" s="2">
        <v>28.5</v>
      </c>
      <c r="L1689">
        <v>20</v>
      </c>
      <c r="M1689">
        <f t="shared" si="26"/>
        <v>570</v>
      </c>
    </row>
    <row r="1690" spans="1:13">
      <c r="A1690" t="s">
        <v>346</v>
      </c>
      <c r="B1690" t="s">
        <v>347</v>
      </c>
      <c r="C1690" s="1">
        <v>39877</v>
      </c>
      <c r="D1690" t="s">
        <v>88</v>
      </c>
      <c r="E1690" t="s">
        <v>21</v>
      </c>
      <c r="F1690" t="s">
        <v>51</v>
      </c>
      <c r="G1690" t="s">
        <v>17</v>
      </c>
      <c r="H1690" t="s">
        <v>199</v>
      </c>
      <c r="J1690" t="s">
        <v>348</v>
      </c>
      <c r="K1690" s="2">
        <v>99</v>
      </c>
      <c r="L1690">
        <v>18</v>
      </c>
      <c r="M1690">
        <f t="shared" si="26"/>
        <v>1782</v>
      </c>
    </row>
    <row r="1691" spans="1:13">
      <c r="A1691" t="s">
        <v>349</v>
      </c>
      <c r="B1691" t="s">
        <v>350</v>
      </c>
      <c r="C1691" s="1">
        <v>40085</v>
      </c>
      <c r="D1691" t="s">
        <v>148</v>
      </c>
      <c r="E1691" t="s">
        <v>24</v>
      </c>
      <c r="F1691" t="s">
        <v>16</v>
      </c>
      <c r="G1691" t="s">
        <v>39</v>
      </c>
      <c r="H1691" t="s">
        <v>199</v>
      </c>
      <c r="J1691" t="s">
        <v>351</v>
      </c>
      <c r="K1691" s="2">
        <v>24</v>
      </c>
      <c r="L1691">
        <v>60</v>
      </c>
      <c r="M1691">
        <f t="shared" si="26"/>
        <v>1440</v>
      </c>
    </row>
    <row r="1692" spans="1:13">
      <c r="A1692" t="s">
        <v>349</v>
      </c>
      <c r="B1692" t="s">
        <v>350</v>
      </c>
      <c r="C1692" s="1">
        <v>40085</v>
      </c>
      <c r="D1692" t="s">
        <v>85</v>
      </c>
      <c r="E1692" t="s">
        <v>24</v>
      </c>
      <c r="F1692" t="s">
        <v>33</v>
      </c>
      <c r="G1692" t="s">
        <v>39</v>
      </c>
      <c r="H1692" t="s">
        <v>199</v>
      </c>
      <c r="J1692" t="s">
        <v>351</v>
      </c>
      <c r="K1692" s="2">
        <v>53</v>
      </c>
      <c r="L1692">
        <v>30</v>
      </c>
      <c r="M1692">
        <f t="shared" si="26"/>
        <v>1590</v>
      </c>
    </row>
    <row r="1693" spans="1:13">
      <c r="A1693" t="s">
        <v>349</v>
      </c>
      <c r="B1693" t="s">
        <v>350</v>
      </c>
      <c r="C1693" s="1">
        <v>40047</v>
      </c>
      <c r="D1693" t="s">
        <v>28</v>
      </c>
      <c r="E1693" t="s">
        <v>50</v>
      </c>
      <c r="F1693" t="s">
        <v>29</v>
      </c>
      <c r="G1693" t="s">
        <v>17</v>
      </c>
      <c r="H1693" t="s">
        <v>199</v>
      </c>
      <c r="J1693" t="s">
        <v>351</v>
      </c>
      <c r="K1693" s="2">
        <v>28.5</v>
      </c>
      <c r="L1693">
        <v>20</v>
      </c>
      <c r="M1693">
        <f t="shared" si="26"/>
        <v>570</v>
      </c>
    </row>
    <row r="1694" spans="1:13">
      <c r="A1694" t="s">
        <v>349</v>
      </c>
      <c r="B1694" t="s">
        <v>350</v>
      </c>
      <c r="C1694" s="1">
        <v>40047</v>
      </c>
      <c r="D1694" t="s">
        <v>34</v>
      </c>
      <c r="E1694" t="s">
        <v>50</v>
      </c>
      <c r="F1694" t="s">
        <v>35</v>
      </c>
      <c r="G1694" t="s">
        <v>17</v>
      </c>
      <c r="H1694" t="s">
        <v>199</v>
      </c>
      <c r="J1694" t="s">
        <v>351</v>
      </c>
      <c r="K1694" s="2">
        <v>10</v>
      </c>
      <c r="L1694">
        <v>30</v>
      </c>
      <c r="M1694">
        <f t="shared" si="26"/>
        <v>300</v>
      </c>
    </row>
    <row r="1695" spans="1:13">
      <c r="A1695" t="s">
        <v>349</v>
      </c>
      <c r="B1695" t="s">
        <v>350</v>
      </c>
      <c r="C1695" s="1">
        <v>39829</v>
      </c>
      <c r="D1695" t="s">
        <v>82</v>
      </c>
      <c r="E1695" t="s">
        <v>24</v>
      </c>
      <c r="F1695" t="s">
        <v>35</v>
      </c>
      <c r="G1695" t="s">
        <v>17</v>
      </c>
      <c r="H1695" t="s">
        <v>199</v>
      </c>
      <c r="J1695" t="s">
        <v>351</v>
      </c>
      <c r="K1695" s="2">
        <v>10</v>
      </c>
      <c r="L1695">
        <v>36</v>
      </c>
      <c r="M1695">
        <f t="shared" si="26"/>
        <v>360</v>
      </c>
    </row>
    <row r="1696" spans="1:13">
      <c r="A1696" t="s">
        <v>349</v>
      </c>
      <c r="B1696" t="s">
        <v>350</v>
      </c>
      <c r="C1696" s="1">
        <v>40085</v>
      </c>
      <c r="D1696" t="s">
        <v>38</v>
      </c>
      <c r="E1696" t="s">
        <v>24</v>
      </c>
      <c r="F1696" t="s">
        <v>29</v>
      </c>
      <c r="G1696" t="s">
        <v>39</v>
      </c>
      <c r="H1696" t="s">
        <v>199</v>
      </c>
      <c r="J1696" t="s">
        <v>351</v>
      </c>
      <c r="K1696" s="2">
        <v>49.3</v>
      </c>
      <c r="L1696">
        <v>5</v>
      </c>
      <c r="M1696">
        <f t="shared" si="26"/>
        <v>246.5</v>
      </c>
    </row>
    <row r="1697" spans="1:13">
      <c r="A1697" t="s">
        <v>349</v>
      </c>
      <c r="B1697" t="s">
        <v>350</v>
      </c>
      <c r="C1697" s="1">
        <v>40085</v>
      </c>
      <c r="D1697" t="s">
        <v>83</v>
      </c>
      <c r="E1697" t="s">
        <v>24</v>
      </c>
      <c r="F1697" t="s">
        <v>84</v>
      </c>
      <c r="G1697" t="s">
        <v>39</v>
      </c>
      <c r="H1697" t="s">
        <v>199</v>
      </c>
      <c r="J1697" t="s">
        <v>351</v>
      </c>
      <c r="K1697" s="2">
        <v>25.89</v>
      </c>
      <c r="L1697">
        <v>25</v>
      </c>
      <c r="M1697">
        <f t="shared" si="26"/>
        <v>647.25</v>
      </c>
    </row>
    <row r="1698" spans="1:13">
      <c r="A1698" t="s">
        <v>349</v>
      </c>
      <c r="B1698" t="s">
        <v>350</v>
      </c>
      <c r="C1698" s="1">
        <v>40071</v>
      </c>
      <c r="D1698" t="s">
        <v>57</v>
      </c>
      <c r="E1698" t="s">
        <v>53</v>
      </c>
      <c r="F1698" t="s">
        <v>58</v>
      </c>
      <c r="G1698" t="s">
        <v>17</v>
      </c>
      <c r="H1698" t="s">
        <v>199</v>
      </c>
      <c r="J1698" t="s">
        <v>351</v>
      </c>
      <c r="K1698" s="2">
        <v>19</v>
      </c>
      <c r="L1698">
        <v>30</v>
      </c>
      <c r="M1698">
        <f t="shared" si="26"/>
        <v>570</v>
      </c>
    </row>
    <row r="1699" spans="1:13">
      <c r="A1699" t="s">
        <v>349</v>
      </c>
      <c r="B1699" t="s">
        <v>350</v>
      </c>
      <c r="C1699" s="1">
        <v>39967</v>
      </c>
      <c r="D1699" t="s">
        <v>75</v>
      </c>
      <c r="E1699" t="s">
        <v>53</v>
      </c>
      <c r="F1699" t="s">
        <v>76</v>
      </c>
      <c r="G1699" t="s">
        <v>17</v>
      </c>
      <c r="H1699" t="s">
        <v>199</v>
      </c>
      <c r="J1699" t="s">
        <v>351</v>
      </c>
      <c r="K1699" s="2">
        <v>34.799999999999997</v>
      </c>
      <c r="L1699">
        <v>24</v>
      </c>
      <c r="M1699">
        <f t="shared" si="26"/>
        <v>835.19999999999993</v>
      </c>
    </row>
    <row r="1700" spans="1:13">
      <c r="A1700" t="s">
        <v>349</v>
      </c>
      <c r="B1700" t="s">
        <v>350</v>
      </c>
      <c r="C1700" s="1">
        <v>39829</v>
      </c>
      <c r="D1700" t="s">
        <v>70</v>
      </c>
      <c r="E1700" t="s">
        <v>24</v>
      </c>
      <c r="F1700" t="s">
        <v>61</v>
      </c>
      <c r="G1700" t="s">
        <v>17</v>
      </c>
      <c r="H1700" t="s">
        <v>199</v>
      </c>
      <c r="J1700" t="s">
        <v>351</v>
      </c>
      <c r="K1700" s="2">
        <v>9.6</v>
      </c>
      <c r="L1700">
        <v>2</v>
      </c>
      <c r="M1700">
        <f t="shared" si="26"/>
        <v>19.2</v>
      </c>
    </row>
    <row r="1701" spans="1:13">
      <c r="A1701" t="s">
        <v>349</v>
      </c>
      <c r="B1701" t="s">
        <v>350</v>
      </c>
      <c r="C1701" s="1">
        <v>39829</v>
      </c>
      <c r="D1701" t="s">
        <v>49</v>
      </c>
      <c r="E1701" t="s">
        <v>24</v>
      </c>
      <c r="F1701" t="s">
        <v>51</v>
      </c>
      <c r="G1701" t="s">
        <v>17</v>
      </c>
      <c r="H1701" t="s">
        <v>199</v>
      </c>
      <c r="J1701" t="s">
        <v>351</v>
      </c>
      <c r="K1701" s="2">
        <v>10.4</v>
      </c>
      <c r="L1701">
        <v>35</v>
      </c>
      <c r="M1701">
        <f t="shared" si="26"/>
        <v>364</v>
      </c>
    </row>
    <row r="1702" spans="1:13">
      <c r="A1702" t="s">
        <v>349</v>
      </c>
      <c r="B1702" t="s">
        <v>350</v>
      </c>
      <c r="C1702" s="1">
        <v>39574</v>
      </c>
      <c r="D1702" t="s">
        <v>20</v>
      </c>
      <c r="E1702" t="s">
        <v>50</v>
      </c>
      <c r="F1702" t="s">
        <v>22</v>
      </c>
      <c r="G1702" t="s">
        <v>39</v>
      </c>
      <c r="H1702" t="s">
        <v>199</v>
      </c>
      <c r="J1702" t="s">
        <v>351</v>
      </c>
      <c r="K1702" s="2">
        <v>17.45</v>
      </c>
      <c r="L1702">
        <v>14</v>
      </c>
      <c r="M1702">
        <f t="shared" si="26"/>
        <v>244.29999999999998</v>
      </c>
    </row>
    <row r="1703" spans="1:13">
      <c r="A1703" t="s">
        <v>349</v>
      </c>
      <c r="B1703" t="s">
        <v>350</v>
      </c>
      <c r="C1703" s="1">
        <v>39750</v>
      </c>
      <c r="D1703" t="s">
        <v>40</v>
      </c>
      <c r="E1703" t="s">
        <v>50</v>
      </c>
      <c r="F1703" t="s">
        <v>41</v>
      </c>
      <c r="G1703" t="s">
        <v>17</v>
      </c>
      <c r="H1703" t="s">
        <v>199</v>
      </c>
      <c r="J1703" t="s">
        <v>351</v>
      </c>
      <c r="K1703" s="2">
        <v>2</v>
      </c>
      <c r="L1703">
        <v>8</v>
      </c>
      <c r="M1703">
        <f t="shared" si="26"/>
        <v>16</v>
      </c>
    </row>
    <row r="1704" spans="1:13">
      <c r="A1704" t="s">
        <v>349</v>
      </c>
      <c r="B1704" t="s">
        <v>350</v>
      </c>
      <c r="C1704" s="1">
        <v>39750</v>
      </c>
      <c r="D1704" t="s">
        <v>52</v>
      </c>
      <c r="E1704" t="s">
        <v>50</v>
      </c>
      <c r="F1704" t="s">
        <v>54</v>
      </c>
      <c r="G1704" t="s">
        <v>17</v>
      </c>
      <c r="H1704" t="s">
        <v>199</v>
      </c>
      <c r="J1704" t="s">
        <v>351</v>
      </c>
      <c r="K1704" s="2">
        <v>44</v>
      </c>
      <c r="L1704">
        <v>9</v>
      </c>
      <c r="M1704">
        <f t="shared" si="26"/>
        <v>396</v>
      </c>
    </row>
    <row r="1705" spans="1:13">
      <c r="A1705" t="s">
        <v>349</v>
      </c>
      <c r="B1705" t="s">
        <v>350</v>
      </c>
      <c r="C1705" s="1">
        <v>39829</v>
      </c>
      <c r="D1705" t="s">
        <v>55</v>
      </c>
      <c r="E1705" t="s">
        <v>24</v>
      </c>
      <c r="F1705" t="s">
        <v>56</v>
      </c>
      <c r="G1705" t="s">
        <v>17</v>
      </c>
      <c r="H1705" t="s">
        <v>199</v>
      </c>
      <c r="J1705" t="s">
        <v>351</v>
      </c>
      <c r="K1705" s="2">
        <v>210.8</v>
      </c>
      <c r="L1705">
        <v>50</v>
      </c>
      <c r="M1705">
        <f t="shared" si="26"/>
        <v>10540</v>
      </c>
    </row>
    <row r="1706" spans="1:13">
      <c r="A1706" t="s">
        <v>352</v>
      </c>
      <c r="B1706" t="s">
        <v>353</v>
      </c>
      <c r="C1706" s="1">
        <v>39700</v>
      </c>
      <c r="D1706" t="s">
        <v>185</v>
      </c>
      <c r="E1706" t="s">
        <v>67</v>
      </c>
      <c r="F1706" t="s">
        <v>134</v>
      </c>
      <c r="G1706" t="s">
        <v>17</v>
      </c>
      <c r="H1706" t="s">
        <v>18</v>
      </c>
      <c r="J1706" t="s">
        <v>354</v>
      </c>
      <c r="K1706" s="2">
        <v>14.7</v>
      </c>
      <c r="L1706">
        <v>10</v>
      </c>
      <c r="M1706">
        <f t="shared" si="26"/>
        <v>147</v>
      </c>
    </row>
    <row r="1707" spans="1:13">
      <c r="A1707" t="s">
        <v>352</v>
      </c>
      <c r="B1707" t="s">
        <v>353</v>
      </c>
      <c r="C1707" s="1">
        <v>39700</v>
      </c>
      <c r="D1707" t="s">
        <v>62</v>
      </c>
      <c r="E1707" t="s">
        <v>67</v>
      </c>
      <c r="F1707" t="s">
        <v>63</v>
      </c>
      <c r="G1707" t="s">
        <v>17</v>
      </c>
      <c r="H1707" t="s">
        <v>18</v>
      </c>
      <c r="J1707" t="s">
        <v>354</v>
      </c>
      <c r="K1707" s="2">
        <v>30.4</v>
      </c>
      <c r="L1707">
        <v>20</v>
      </c>
      <c r="M1707">
        <f t="shared" si="26"/>
        <v>608</v>
      </c>
    </row>
    <row r="1708" spans="1:13">
      <c r="A1708" t="s">
        <v>352</v>
      </c>
      <c r="B1708" t="s">
        <v>353</v>
      </c>
      <c r="C1708" s="1">
        <v>39714</v>
      </c>
      <c r="D1708" t="s">
        <v>77</v>
      </c>
      <c r="E1708" t="s">
        <v>53</v>
      </c>
      <c r="F1708" t="s">
        <v>51</v>
      </c>
      <c r="G1708" t="s">
        <v>17</v>
      </c>
      <c r="H1708" t="s">
        <v>18</v>
      </c>
      <c r="J1708" t="s">
        <v>354</v>
      </c>
      <c r="K1708" s="2">
        <v>36.4</v>
      </c>
      <c r="L1708">
        <v>4</v>
      </c>
      <c r="M1708">
        <f t="shared" si="26"/>
        <v>145.6</v>
      </c>
    </row>
    <row r="1709" spans="1:13">
      <c r="A1709" t="s">
        <v>352</v>
      </c>
      <c r="B1709" t="s">
        <v>353</v>
      </c>
      <c r="C1709" s="1">
        <v>39714</v>
      </c>
      <c r="D1709" t="s">
        <v>71</v>
      </c>
      <c r="E1709" t="s">
        <v>53</v>
      </c>
      <c r="F1709" t="s">
        <v>51</v>
      </c>
      <c r="G1709" t="s">
        <v>17</v>
      </c>
      <c r="H1709" t="s">
        <v>18</v>
      </c>
      <c r="J1709" t="s">
        <v>354</v>
      </c>
      <c r="K1709" s="2">
        <v>6.2</v>
      </c>
      <c r="L1709">
        <v>10</v>
      </c>
      <c r="M1709">
        <f t="shared" si="26"/>
        <v>62</v>
      </c>
    </row>
    <row r="1710" spans="1:13">
      <c r="A1710" t="s">
        <v>352</v>
      </c>
      <c r="B1710" t="s">
        <v>353</v>
      </c>
      <c r="C1710" s="1">
        <v>39714</v>
      </c>
      <c r="D1710" t="s">
        <v>32</v>
      </c>
      <c r="E1710" t="s">
        <v>53</v>
      </c>
      <c r="F1710" t="s">
        <v>33</v>
      </c>
      <c r="G1710" t="s">
        <v>17</v>
      </c>
      <c r="H1710" t="s">
        <v>18</v>
      </c>
      <c r="J1710" t="s">
        <v>354</v>
      </c>
      <c r="K1710" s="2">
        <v>26.2</v>
      </c>
      <c r="L1710">
        <v>20</v>
      </c>
      <c r="M1710">
        <f t="shared" si="26"/>
        <v>524</v>
      </c>
    </row>
    <row r="1711" spans="1:13">
      <c r="A1711" t="s">
        <v>352</v>
      </c>
      <c r="B1711" t="s">
        <v>353</v>
      </c>
      <c r="C1711" s="1">
        <v>39714</v>
      </c>
      <c r="D1711" t="s">
        <v>94</v>
      </c>
      <c r="E1711" t="s">
        <v>53</v>
      </c>
      <c r="F1711" t="s">
        <v>74</v>
      </c>
      <c r="G1711" t="s">
        <v>17</v>
      </c>
      <c r="H1711" t="s">
        <v>18</v>
      </c>
      <c r="J1711" t="s">
        <v>354</v>
      </c>
      <c r="K1711" s="2">
        <v>36.799999999999997</v>
      </c>
      <c r="L1711">
        <v>24</v>
      </c>
      <c r="M1711">
        <f t="shared" si="26"/>
        <v>883.19999999999993</v>
      </c>
    </row>
    <row r="1712" spans="1:13">
      <c r="A1712" t="s">
        <v>352</v>
      </c>
      <c r="B1712" t="s">
        <v>353</v>
      </c>
      <c r="C1712" s="1">
        <v>39561</v>
      </c>
      <c r="D1712" t="s">
        <v>44</v>
      </c>
      <c r="E1712" t="s">
        <v>67</v>
      </c>
      <c r="F1712" t="s">
        <v>45</v>
      </c>
      <c r="G1712" t="s">
        <v>39</v>
      </c>
      <c r="H1712" t="s">
        <v>18</v>
      </c>
      <c r="J1712" t="s">
        <v>354</v>
      </c>
      <c r="K1712" s="2">
        <v>18</v>
      </c>
      <c r="L1712">
        <v>18</v>
      </c>
      <c r="M1712">
        <f t="shared" si="26"/>
        <v>324</v>
      </c>
    </row>
    <row r="1713" spans="1:13">
      <c r="A1713" t="s">
        <v>352</v>
      </c>
      <c r="B1713" t="s">
        <v>353</v>
      </c>
      <c r="C1713" s="1">
        <v>39925</v>
      </c>
      <c r="D1713" t="s">
        <v>34</v>
      </c>
      <c r="E1713" t="s">
        <v>50</v>
      </c>
      <c r="F1713" t="s">
        <v>35</v>
      </c>
      <c r="G1713" t="s">
        <v>17</v>
      </c>
      <c r="H1713" t="s">
        <v>18</v>
      </c>
      <c r="J1713" t="s">
        <v>354</v>
      </c>
      <c r="K1713" s="2">
        <v>10</v>
      </c>
      <c r="L1713">
        <v>40</v>
      </c>
      <c r="M1713">
        <f t="shared" si="26"/>
        <v>400</v>
      </c>
    </row>
    <row r="1714" spans="1:13">
      <c r="A1714" t="s">
        <v>352</v>
      </c>
      <c r="B1714" t="s">
        <v>353</v>
      </c>
      <c r="C1714" s="1">
        <v>40057</v>
      </c>
      <c r="D1714" t="s">
        <v>64</v>
      </c>
      <c r="E1714" t="s">
        <v>67</v>
      </c>
      <c r="F1714" t="s">
        <v>35</v>
      </c>
      <c r="G1714" t="s">
        <v>17</v>
      </c>
      <c r="H1714" t="s">
        <v>18</v>
      </c>
      <c r="J1714" t="s">
        <v>354</v>
      </c>
      <c r="K1714" s="2">
        <v>9.1999999999999993</v>
      </c>
      <c r="L1714">
        <v>12</v>
      </c>
      <c r="M1714">
        <f t="shared" si="26"/>
        <v>110.39999999999999</v>
      </c>
    </row>
    <row r="1715" spans="1:13">
      <c r="A1715" t="s">
        <v>352</v>
      </c>
      <c r="B1715" t="s">
        <v>353</v>
      </c>
      <c r="C1715" s="1">
        <v>39739</v>
      </c>
      <c r="D1715" t="s">
        <v>148</v>
      </c>
      <c r="E1715" t="s">
        <v>89</v>
      </c>
      <c r="F1715" t="s">
        <v>16</v>
      </c>
      <c r="G1715" t="s">
        <v>17</v>
      </c>
      <c r="H1715" t="s">
        <v>18</v>
      </c>
      <c r="J1715" t="s">
        <v>354</v>
      </c>
      <c r="K1715" s="2">
        <v>19.2</v>
      </c>
      <c r="L1715">
        <v>12</v>
      </c>
      <c r="M1715">
        <f t="shared" si="26"/>
        <v>230.39999999999998</v>
      </c>
    </row>
    <row r="1716" spans="1:13">
      <c r="A1716" t="s">
        <v>352</v>
      </c>
      <c r="B1716" t="s">
        <v>353</v>
      </c>
      <c r="C1716" s="1">
        <v>40039</v>
      </c>
      <c r="D1716" t="s">
        <v>36</v>
      </c>
      <c r="E1716" t="s">
        <v>67</v>
      </c>
      <c r="F1716" t="s">
        <v>37</v>
      </c>
      <c r="G1716" t="s">
        <v>17</v>
      </c>
      <c r="H1716" t="s">
        <v>18</v>
      </c>
      <c r="J1716" t="s">
        <v>354</v>
      </c>
      <c r="K1716" s="2">
        <v>19</v>
      </c>
      <c r="L1716">
        <v>30</v>
      </c>
      <c r="M1716">
        <f t="shared" si="26"/>
        <v>570</v>
      </c>
    </row>
    <row r="1717" spans="1:13">
      <c r="A1717" t="s">
        <v>352</v>
      </c>
      <c r="B1717" t="s">
        <v>353</v>
      </c>
      <c r="C1717" s="1">
        <v>39739</v>
      </c>
      <c r="D1717" t="s">
        <v>137</v>
      </c>
      <c r="E1717" t="s">
        <v>89</v>
      </c>
      <c r="F1717" t="s">
        <v>76</v>
      </c>
      <c r="G1717" t="s">
        <v>17</v>
      </c>
      <c r="H1717" t="s">
        <v>18</v>
      </c>
      <c r="J1717" t="s">
        <v>354</v>
      </c>
      <c r="K1717" s="2">
        <v>10</v>
      </c>
      <c r="L1717">
        <v>30</v>
      </c>
      <c r="M1717">
        <f t="shared" si="26"/>
        <v>300</v>
      </c>
    </row>
    <row r="1718" spans="1:13">
      <c r="A1718" t="s">
        <v>352</v>
      </c>
      <c r="B1718" t="s">
        <v>353</v>
      </c>
      <c r="C1718" s="1">
        <v>40039</v>
      </c>
      <c r="D1718" t="s">
        <v>40</v>
      </c>
      <c r="E1718" t="s">
        <v>67</v>
      </c>
      <c r="F1718" t="s">
        <v>41</v>
      </c>
      <c r="G1718" t="s">
        <v>17</v>
      </c>
      <c r="H1718" t="s">
        <v>18</v>
      </c>
      <c r="J1718" t="s">
        <v>354</v>
      </c>
      <c r="K1718" s="2">
        <v>2.5</v>
      </c>
      <c r="L1718">
        <v>20</v>
      </c>
      <c r="M1718">
        <f t="shared" si="26"/>
        <v>50</v>
      </c>
    </row>
    <row r="1719" spans="1:13">
      <c r="A1719" t="s">
        <v>352</v>
      </c>
      <c r="B1719" t="s">
        <v>353</v>
      </c>
      <c r="C1719" s="1">
        <v>39925</v>
      </c>
      <c r="D1719" t="s">
        <v>138</v>
      </c>
      <c r="E1719" t="s">
        <v>50</v>
      </c>
      <c r="F1719" t="s">
        <v>76</v>
      </c>
      <c r="G1719" t="s">
        <v>17</v>
      </c>
      <c r="H1719" t="s">
        <v>18</v>
      </c>
      <c r="J1719" t="s">
        <v>354</v>
      </c>
      <c r="K1719" s="2">
        <v>32</v>
      </c>
      <c r="L1719">
        <v>50</v>
      </c>
      <c r="M1719">
        <f t="shared" si="26"/>
        <v>1600</v>
      </c>
    </row>
    <row r="1720" spans="1:13">
      <c r="A1720" t="s">
        <v>352</v>
      </c>
      <c r="B1720" t="s">
        <v>353</v>
      </c>
      <c r="C1720" s="1">
        <v>39561</v>
      </c>
      <c r="D1720" t="s">
        <v>138</v>
      </c>
      <c r="E1720" t="s">
        <v>67</v>
      </c>
      <c r="F1720" t="s">
        <v>76</v>
      </c>
      <c r="G1720" t="s">
        <v>39</v>
      </c>
      <c r="H1720" t="s">
        <v>18</v>
      </c>
      <c r="J1720" t="s">
        <v>354</v>
      </c>
      <c r="K1720" s="2">
        <v>32</v>
      </c>
      <c r="L1720">
        <v>15</v>
      </c>
      <c r="M1720">
        <f t="shared" si="26"/>
        <v>480</v>
      </c>
    </row>
    <row r="1721" spans="1:13">
      <c r="A1721" t="s">
        <v>352</v>
      </c>
      <c r="B1721" t="s">
        <v>353</v>
      </c>
      <c r="C1721" s="1">
        <v>39739</v>
      </c>
      <c r="D1721" t="s">
        <v>43</v>
      </c>
      <c r="E1721" t="s">
        <v>89</v>
      </c>
      <c r="F1721" t="s">
        <v>41</v>
      </c>
      <c r="G1721" t="s">
        <v>17</v>
      </c>
      <c r="H1721" t="s">
        <v>18</v>
      </c>
      <c r="J1721" t="s">
        <v>354</v>
      </c>
      <c r="K1721" s="2">
        <v>28.8</v>
      </c>
      <c r="L1721">
        <v>20</v>
      </c>
      <c r="M1721">
        <f t="shared" si="26"/>
        <v>576</v>
      </c>
    </row>
    <row r="1722" spans="1:13">
      <c r="A1722" t="s">
        <v>352</v>
      </c>
      <c r="B1722" t="s">
        <v>353</v>
      </c>
      <c r="C1722" s="1">
        <v>40046</v>
      </c>
      <c r="D1722" t="s">
        <v>43</v>
      </c>
      <c r="E1722" t="s">
        <v>24</v>
      </c>
      <c r="F1722" t="s">
        <v>41</v>
      </c>
      <c r="G1722" t="s">
        <v>17</v>
      </c>
      <c r="H1722" t="s">
        <v>18</v>
      </c>
      <c r="J1722" t="s">
        <v>354</v>
      </c>
      <c r="K1722" s="2">
        <v>36</v>
      </c>
      <c r="L1722">
        <v>20</v>
      </c>
      <c r="M1722">
        <f t="shared" si="26"/>
        <v>720</v>
      </c>
    </row>
    <row r="1723" spans="1:13">
      <c r="A1723" t="s">
        <v>352</v>
      </c>
      <c r="B1723" t="s">
        <v>353</v>
      </c>
      <c r="C1723" s="1">
        <v>40046</v>
      </c>
      <c r="D1723" t="s">
        <v>116</v>
      </c>
      <c r="E1723" t="s">
        <v>24</v>
      </c>
      <c r="F1723" t="s">
        <v>22</v>
      </c>
      <c r="G1723" t="s">
        <v>17</v>
      </c>
      <c r="H1723" t="s">
        <v>18</v>
      </c>
      <c r="J1723" t="s">
        <v>354</v>
      </c>
      <c r="K1723" s="2">
        <v>15</v>
      </c>
      <c r="L1723">
        <v>15</v>
      </c>
      <c r="M1723">
        <f t="shared" si="26"/>
        <v>225</v>
      </c>
    </row>
    <row r="1724" spans="1:13">
      <c r="A1724" t="s">
        <v>352</v>
      </c>
      <c r="B1724" t="s">
        <v>353</v>
      </c>
      <c r="C1724" s="1">
        <v>40071</v>
      </c>
      <c r="D1724" t="s">
        <v>147</v>
      </c>
      <c r="E1724" t="s">
        <v>21</v>
      </c>
      <c r="F1724" t="s">
        <v>51</v>
      </c>
      <c r="G1724" t="s">
        <v>17</v>
      </c>
      <c r="H1724" t="s">
        <v>18</v>
      </c>
      <c r="J1724" t="s">
        <v>354</v>
      </c>
      <c r="K1724" s="2">
        <v>33.25</v>
      </c>
      <c r="L1724">
        <v>15</v>
      </c>
      <c r="M1724">
        <f t="shared" si="26"/>
        <v>498.75</v>
      </c>
    </row>
    <row r="1725" spans="1:13">
      <c r="A1725" t="s">
        <v>352</v>
      </c>
      <c r="B1725" t="s">
        <v>353</v>
      </c>
      <c r="C1725" s="1">
        <v>40071</v>
      </c>
      <c r="D1725" t="s">
        <v>148</v>
      </c>
      <c r="E1725" t="s">
        <v>21</v>
      </c>
      <c r="F1725" t="s">
        <v>16</v>
      </c>
      <c r="G1725" t="s">
        <v>17</v>
      </c>
      <c r="H1725" t="s">
        <v>18</v>
      </c>
      <c r="J1725" t="s">
        <v>354</v>
      </c>
      <c r="K1725" s="2">
        <v>24</v>
      </c>
      <c r="L1725">
        <v>4</v>
      </c>
      <c r="M1725">
        <f t="shared" si="26"/>
        <v>96</v>
      </c>
    </row>
    <row r="1726" spans="1:13">
      <c r="A1726" t="s">
        <v>352</v>
      </c>
      <c r="B1726" t="s">
        <v>353</v>
      </c>
      <c r="C1726" s="1">
        <v>40071</v>
      </c>
      <c r="D1726" t="s">
        <v>137</v>
      </c>
      <c r="E1726" t="s">
        <v>21</v>
      </c>
      <c r="F1726" t="s">
        <v>76</v>
      </c>
      <c r="G1726" t="s">
        <v>17</v>
      </c>
      <c r="H1726" t="s">
        <v>18</v>
      </c>
      <c r="J1726" t="s">
        <v>354</v>
      </c>
      <c r="K1726" s="2">
        <v>12.5</v>
      </c>
      <c r="L1726">
        <v>8</v>
      </c>
      <c r="M1726">
        <f t="shared" si="26"/>
        <v>100</v>
      </c>
    </row>
    <row r="1727" spans="1:13">
      <c r="A1727" t="s">
        <v>352</v>
      </c>
      <c r="B1727" t="s">
        <v>353</v>
      </c>
      <c r="C1727" s="1">
        <v>39728</v>
      </c>
      <c r="D1727" t="s">
        <v>111</v>
      </c>
      <c r="E1727" t="s">
        <v>24</v>
      </c>
      <c r="F1727" t="s">
        <v>37</v>
      </c>
      <c r="G1727" t="s">
        <v>17</v>
      </c>
      <c r="H1727" t="s">
        <v>18</v>
      </c>
      <c r="J1727" t="s">
        <v>354</v>
      </c>
      <c r="K1727" s="2">
        <v>14.4</v>
      </c>
      <c r="L1727">
        <v>15</v>
      </c>
      <c r="M1727">
        <f t="shared" si="26"/>
        <v>216</v>
      </c>
    </row>
    <row r="1728" spans="1:13">
      <c r="A1728" t="s">
        <v>352</v>
      </c>
      <c r="B1728" t="s">
        <v>353</v>
      </c>
      <c r="C1728" s="1">
        <v>39728</v>
      </c>
      <c r="D1728" t="s">
        <v>130</v>
      </c>
      <c r="E1728" t="s">
        <v>24</v>
      </c>
      <c r="F1728" t="s">
        <v>118</v>
      </c>
      <c r="G1728" t="s">
        <v>17</v>
      </c>
      <c r="H1728" t="s">
        <v>18</v>
      </c>
      <c r="J1728" t="s">
        <v>354</v>
      </c>
      <c r="K1728" s="2">
        <v>7.2</v>
      </c>
      <c r="L1728">
        <v>25</v>
      </c>
      <c r="M1728">
        <f t="shared" si="26"/>
        <v>180</v>
      </c>
    </row>
    <row r="1729" spans="1:13">
      <c r="A1729" t="s">
        <v>352</v>
      </c>
      <c r="B1729" t="s">
        <v>353</v>
      </c>
      <c r="C1729" s="1">
        <v>39561</v>
      </c>
      <c r="D1729" t="s">
        <v>154</v>
      </c>
      <c r="E1729" t="s">
        <v>67</v>
      </c>
      <c r="F1729" t="s">
        <v>132</v>
      </c>
      <c r="G1729" t="s">
        <v>39</v>
      </c>
      <c r="H1729" t="s">
        <v>18</v>
      </c>
      <c r="J1729" t="s">
        <v>354</v>
      </c>
      <c r="K1729" s="2">
        <v>38</v>
      </c>
      <c r="L1729">
        <v>20</v>
      </c>
      <c r="M1729">
        <f t="shared" si="26"/>
        <v>760</v>
      </c>
    </row>
    <row r="1730" spans="1:13">
      <c r="A1730" t="s">
        <v>352</v>
      </c>
      <c r="B1730" t="s">
        <v>353</v>
      </c>
      <c r="C1730" s="1">
        <v>40057</v>
      </c>
      <c r="D1730" t="s">
        <v>117</v>
      </c>
      <c r="E1730" t="s">
        <v>67</v>
      </c>
      <c r="F1730" t="s">
        <v>118</v>
      </c>
      <c r="G1730" t="s">
        <v>17</v>
      </c>
      <c r="H1730" t="s">
        <v>18</v>
      </c>
      <c r="J1730" t="s">
        <v>354</v>
      </c>
      <c r="K1730" s="2">
        <v>21</v>
      </c>
      <c r="L1730">
        <v>20</v>
      </c>
      <c r="M1730">
        <f t="shared" si="26"/>
        <v>420</v>
      </c>
    </row>
    <row r="1731" spans="1:13">
      <c r="A1731" t="s">
        <v>352</v>
      </c>
      <c r="B1731" t="s">
        <v>353</v>
      </c>
      <c r="C1731" s="1">
        <v>39925</v>
      </c>
      <c r="D1731" t="s">
        <v>28</v>
      </c>
      <c r="E1731" t="s">
        <v>50</v>
      </c>
      <c r="F1731" t="s">
        <v>29</v>
      </c>
      <c r="G1731" t="s">
        <v>17</v>
      </c>
      <c r="H1731" t="s">
        <v>18</v>
      </c>
      <c r="J1731" t="s">
        <v>354</v>
      </c>
      <c r="K1731" s="2">
        <v>28.5</v>
      </c>
      <c r="L1731">
        <v>15</v>
      </c>
      <c r="M1731">
        <f t="shared" ref="M1731:M1794" si="27">K1731*L1731</f>
        <v>427.5</v>
      </c>
    </row>
    <row r="1732" spans="1:13">
      <c r="A1732" t="s">
        <v>355</v>
      </c>
      <c r="B1732" t="s">
        <v>356</v>
      </c>
      <c r="C1732" s="1">
        <v>40018</v>
      </c>
      <c r="D1732" t="s">
        <v>111</v>
      </c>
      <c r="E1732" t="s">
        <v>50</v>
      </c>
      <c r="F1732" t="s">
        <v>37</v>
      </c>
      <c r="G1732" t="s">
        <v>17</v>
      </c>
      <c r="H1732" t="s">
        <v>167</v>
      </c>
      <c r="J1732" t="s">
        <v>168</v>
      </c>
      <c r="K1732" s="2">
        <v>18</v>
      </c>
      <c r="L1732">
        <v>3</v>
      </c>
      <c r="M1732">
        <f t="shared" si="27"/>
        <v>54</v>
      </c>
    </row>
    <row r="1733" spans="1:13">
      <c r="A1733" t="s">
        <v>355</v>
      </c>
      <c r="B1733" t="s">
        <v>356</v>
      </c>
      <c r="C1733" s="1">
        <v>39711</v>
      </c>
      <c r="D1733" t="s">
        <v>110</v>
      </c>
      <c r="E1733" t="s">
        <v>21</v>
      </c>
      <c r="F1733" t="s">
        <v>74</v>
      </c>
      <c r="G1733" t="s">
        <v>17</v>
      </c>
      <c r="H1733" t="s">
        <v>167</v>
      </c>
      <c r="J1733" t="s">
        <v>168</v>
      </c>
      <c r="K1733" s="2">
        <v>11.2</v>
      </c>
      <c r="L1733">
        <v>6</v>
      </c>
      <c r="M1733">
        <f t="shared" si="27"/>
        <v>67.199999999999989</v>
      </c>
    </row>
    <row r="1734" spans="1:13">
      <c r="A1734" t="s">
        <v>355</v>
      </c>
      <c r="B1734" t="s">
        <v>356</v>
      </c>
      <c r="C1734" s="1">
        <v>40018</v>
      </c>
      <c r="D1734" t="s">
        <v>102</v>
      </c>
      <c r="E1734" t="s">
        <v>50</v>
      </c>
      <c r="F1734" t="s">
        <v>47</v>
      </c>
      <c r="G1734" t="s">
        <v>17</v>
      </c>
      <c r="H1734" t="s">
        <v>167</v>
      </c>
      <c r="J1734" t="s">
        <v>168</v>
      </c>
      <c r="K1734" s="2">
        <v>31</v>
      </c>
      <c r="L1734">
        <v>10</v>
      </c>
      <c r="M1734">
        <f t="shared" si="27"/>
        <v>310</v>
      </c>
    </row>
    <row r="1735" spans="1:13">
      <c r="A1735" t="s">
        <v>355</v>
      </c>
      <c r="B1735" t="s">
        <v>356</v>
      </c>
      <c r="C1735" s="1">
        <v>40018</v>
      </c>
      <c r="D1735" t="s">
        <v>34</v>
      </c>
      <c r="E1735" t="s">
        <v>50</v>
      </c>
      <c r="F1735" t="s">
        <v>35</v>
      </c>
      <c r="G1735" t="s">
        <v>17</v>
      </c>
      <c r="H1735" t="s">
        <v>167</v>
      </c>
      <c r="J1735" t="s">
        <v>168</v>
      </c>
      <c r="K1735" s="2">
        <v>10</v>
      </c>
      <c r="L1735">
        <v>6</v>
      </c>
      <c r="M1735">
        <f t="shared" si="27"/>
        <v>60</v>
      </c>
    </row>
    <row r="1736" spans="1:13">
      <c r="A1736" t="s">
        <v>355</v>
      </c>
      <c r="B1736" t="s">
        <v>356</v>
      </c>
      <c r="C1736" s="1">
        <v>39494</v>
      </c>
      <c r="D1736" t="s">
        <v>59</v>
      </c>
      <c r="E1736" t="s">
        <v>50</v>
      </c>
      <c r="F1736" t="s">
        <v>45</v>
      </c>
      <c r="G1736" t="s">
        <v>39</v>
      </c>
      <c r="H1736" t="s">
        <v>167</v>
      </c>
      <c r="J1736" t="s">
        <v>168</v>
      </c>
      <c r="K1736" s="2">
        <v>14</v>
      </c>
      <c r="L1736">
        <v>10</v>
      </c>
      <c r="M1736">
        <f t="shared" si="27"/>
        <v>140</v>
      </c>
    </row>
    <row r="1737" spans="1:13">
      <c r="A1737" t="s">
        <v>355</v>
      </c>
      <c r="B1737" t="s">
        <v>356</v>
      </c>
      <c r="C1737" s="1">
        <v>39494</v>
      </c>
      <c r="D1737" t="s">
        <v>133</v>
      </c>
      <c r="E1737" t="s">
        <v>50</v>
      </c>
      <c r="F1737" t="s">
        <v>134</v>
      </c>
      <c r="G1737" t="s">
        <v>39</v>
      </c>
      <c r="H1737" t="s">
        <v>167</v>
      </c>
      <c r="J1737" t="s">
        <v>168</v>
      </c>
      <c r="K1737" s="2">
        <v>9.65</v>
      </c>
      <c r="L1737">
        <v>14</v>
      </c>
      <c r="M1737">
        <f t="shared" si="27"/>
        <v>135.1</v>
      </c>
    </row>
    <row r="1738" spans="1:13">
      <c r="A1738" t="s">
        <v>355</v>
      </c>
      <c r="B1738" t="s">
        <v>356</v>
      </c>
      <c r="C1738" s="1">
        <v>40082</v>
      </c>
      <c r="D1738" t="s">
        <v>120</v>
      </c>
      <c r="E1738" t="s">
        <v>53</v>
      </c>
      <c r="F1738" t="s">
        <v>33</v>
      </c>
      <c r="G1738" t="s">
        <v>17</v>
      </c>
      <c r="H1738" t="s">
        <v>167</v>
      </c>
      <c r="J1738" t="s">
        <v>168</v>
      </c>
      <c r="K1738" s="2">
        <v>7</v>
      </c>
      <c r="L1738">
        <v>9</v>
      </c>
      <c r="M1738">
        <f t="shared" si="27"/>
        <v>63</v>
      </c>
    </row>
    <row r="1739" spans="1:13">
      <c r="A1739" t="s">
        <v>355</v>
      </c>
      <c r="B1739" t="s">
        <v>356</v>
      </c>
      <c r="C1739" s="1">
        <v>39494</v>
      </c>
      <c r="D1739" t="s">
        <v>48</v>
      </c>
      <c r="E1739" t="s">
        <v>50</v>
      </c>
      <c r="F1739" t="s">
        <v>22</v>
      </c>
      <c r="G1739" t="s">
        <v>39</v>
      </c>
      <c r="H1739" t="s">
        <v>167</v>
      </c>
      <c r="J1739" t="s">
        <v>168</v>
      </c>
      <c r="K1739" s="2">
        <v>39</v>
      </c>
      <c r="L1739">
        <v>15</v>
      </c>
      <c r="M1739">
        <f t="shared" si="27"/>
        <v>585</v>
      </c>
    </row>
    <row r="1740" spans="1:13">
      <c r="A1740" t="s">
        <v>355</v>
      </c>
      <c r="B1740" t="s">
        <v>356</v>
      </c>
      <c r="C1740" s="1">
        <v>39711</v>
      </c>
      <c r="D1740" t="s">
        <v>43</v>
      </c>
      <c r="E1740" t="s">
        <v>21</v>
      </c>
      <c r="F1740" t="s">
        <v>41</v>
      </c>
      <c r="G1740" t="s">
        <v>17</v>
      </c>
      <c r="H1740" t="s">
        <v>167</v>
      </c>
      <c r="J1740" t="s">
        <v>168</v>
      </c>
      <c r="K1740" s="2">
        <v>28.8</v>
      </c>
      <c r="L1740">
        <v>7</v>
      </c>
      <c r="M1740">
        <f t="shared" si="27"/>
        <v>201.6</v>
      </c>
    </row>
    <row r="1741" spans="1:13">
      <c r="A1741" t="s">
        <v>357</v>
      </c>
      <c r="B1741" t="s">
        <v>358</v>
      </c>
      <c r="C1741" s="1">
        <v>39537</v>
      </c>
      <c r="D1741" t="s">
        <v>57</v>
      </c>
      <c r="E1741" t="s">
        <v>21</v>
      </c>
      <c r="F1741" t="s">
        <v>58</v>
      </c>
      <c r="G1741" t="s">
        <v>39</v>
      </c>
      <c r="H1741" t="s">
        <v>167</v>
      </c>
      <c r="J1741" t="s">
        <v>168</v>
      </c>
      <c r="K1741" s="2">
        <v>19</v>
      </c>
      <c r="L1741">
        <v>40</v>
      </c>
      <c r="M1741">
        <f t="shared" si="27"/>
        <v>760</v>
      </c>
    </row>
    <row r="1742" spans="1:13">
      <c r="A1742" t="s">
        <v>357</v>
      </c>
      <c r="B1742" t="s">
        <v>358</v>
      </c>
      <c r="C1742" s="1">
        <v>39729</v>
      </c>
      <c r="D1742" t="s">
        <v>44</v>
      </c>
      <c r="E1742" t="s">
        <v>103</v>
      </c>
      <c r="F1742" t="s">
        <v>45</v>
      </c>
      <c r="G1742" t="s">
        <v>17</v>
      </c>
      <c r="H1742" t="s">
        <v>167</v>
      </c>
      <c r="J1742" t="s">
        <v>168</v>
      </c>
      <c r="K1742" s="2">
        <v>14.4</v>
      </c>
      <c r="L1742">
        <v>70</v>
      </c>
      <c r="M1742">
        <f t="shared" si="27"/>
        <v>1008</v>
      </c>
    </row>
    <row r="1743" spans="1:13">
      <c r="A1743" t="s">
        <v>357</v>
      </c>
      <c r="B1743" t="s">
        <v>358</v>
      </c>
      <c r="C1743" s="1">
        <v>39496</v>
      </c>
      <c r="D1743" t="s">
        <v>124</v>
      </c>
      <c r="E1743" t="s">
        <v>21</v>
      </c>
      <c r="F1743" t="s">
        <v>125</v>
      </c>
      <c r="G1743" t="s">
        <v>39</v>
      </c>
      <c r="H1743" t="s">
        <v>167</v>
      </c>
      <c r="J1743" t="s">
        <v>168</v>
      </c>
      <c r="K1743" s="2">
        <v>6</v>
      </c>
      <c r="L1743">
        <v>28</v>
      </c>
      <c r="M1743">
        <f t="shared" si="27"/>
        <v>168</v>
      </c>
    </row>
    <row r="1744" spans="1:13">
      <c r="A1744" t="s">
        <v>357</v>
      </c>
      <c r="B1744" t="s">
        <v>358</v>
      </c>
      <c r="C1744" s="1">
        <v>39496</v>
      </c>
      <c r="D1744" t="s">
        <v>43</v>
      </c>
      <c r="E1744" t="s">
        <v>21</v>
      </c>
      <c r="F1744" t="s">
        <v>41</v>
      </c>
      <c r="G1744" t="s">
        <v>39</v>
      </c>
      <c r="H1744" t="s">
        <v>167</v>
      </c>
      <c r="J1744" t="s">
        <v>168</v>
      </c>
      <c r="K1744" s="2">
        <v>36</v>
      </c>
      <c r="L1744">
        <v>50</v>
      </c>
      <c r="M1744">
        <f t="shared" si="27"/>
        <v>1800</v>
      </c>
    </row>
    <row r="1745" spans="1:13">
      <c r="A1745" t="s">
        <v>357</v>
      </c>
      <c r="B1745" t="s">
        <v>358</v>
      </c>
      <c r="C1745" s="1">
        <v>39729</v>
      </c>
      <c r="D1745" t="s">
        <v>20</v>
      </c>
      <c r="E1745" t="s">
        <v>103</v>
      </c>
      <c r="F1745" t="s">
        <v>22</v>
      </c>
      <c r="G1745" t="s">
        <v>17</v>
      </c>
      <c r="H1745" t="s">
        <v>167</v>
      </c>
      <c r="J1745" t="s">
        <v>168</v>
      </c>
      <c r="K1745" s="2">
        <v>13.9</v>
      </c>
      <c r="L1745">
        <v>21</v>
      </c>
      <c r="M1745">
        <f t="shared" si="27"/>
        <v>291.90000000000003</v>
      </c>
    </row>
    <row r="1746" spans="1:13">
      <c r="A1746" t="s">
        <v>357</v>
      </c>
      <c r="B1746" t="s">
        <v>358</v>
      </c>
      <c r="C1746" s="1">
        <v>39729</v>
      </c>
      <c r="D1746" t="s">
        <v>70</v>
      </c>
      <c r="E1746" t="s">
        <v>103</v>
      </c>
      <c r="F1746" t="s">
        <v>61</v>
      </c>
      <c r="G1746" t="s">
        <v>17</v>
      </c>
      <c r="H1746" t="s">
        <v>167</v>
      </c>
      <c r="J1746" t="s">
        <v>168</v>
      </c>
      <c r="K1746" s="2">
        <v>9.6</v>
      </c>
      <c r="L1746">
        <v>30</v>
      </c>
      <c r="M1746">
        <f t="shared" si="27"/>
        <v>288</v>
      </c>
    </row>
    <row r="1747" spans="1:13">
      <c r="A1747" t="s">
        <v>357</v>
      </c>
      <c r="B1747" t="s">
        <v>358</v>
      </c>
      <c r="C1747" s="1">
        <v>39496</v>
      </c>
      <c r="D1747" t="s">
        <v>71</v>
      </c>
      <c r="E1747" t="s">
        <v>21</v>
      </c>
      <c r="F1747" t="s">
        <v>51</v>
      </c>
      <c r="G1747" t="s">
        <v>39</v>
      </c>
      <c r="H1747" t="s">
        <v>167</v>
      </c>
      <c r="J1747" t="s">
        <v>168</v>
      </c>
      <c r="K1747" s="2">
        <v>7.75</v>
      </c>
      <c r="L1747">
        <v>120</v>
      </c>
      <c r="M1747">
        <f t="shared" si="27"/>
        <v>930</v>
      </c>
    </row>
    <row r="1748" spans="1:13">
      <c r="A1748" t="s">
        <v>357</v>
      </c>
      <c r="B1748" t="s">
        <v>358</v>
      </c>
      <c r="C1748" s="1">
        <v>39729</v>
      </c>
      <c r="D1748" t="s">
        <v>72</v>
      </c>
      <c r="E1748" t="s">
        <v>103</v>
      </c>
      <c r="F1748" t="s">
        <v>22</v>
      </c>
      <c r="G1748" t="s">
        <v>17</v>
      </c>
      <c r="H1748" t="s">
        <v>167</v>
      </c>
      <c r="J1748" t="s">
        <v>168</v>
      </c>
      <c r="K1748" s="2">
        <v>35.1</v>
      </c>
      <c r="L1748">
        <v>80</v>
      </c>
      <c r="M1748">
        <f t="shared" si="27"/>
        <v>2808</v>
      </c>
    </row>
    <row r="1749" spans="1:13">
      <c r="A1749" t="s">
        <v>357</v>
      </c>
      <c r="B1749" t="s">
        <v>358</v>
      </c>
      <c r="C1749" s="1">
        <v>39537</v>
      </c>
      <c r="D1749" t="s">
        <v>98</v>
      </c>
      <c r="E1749" t="s">
        <v>21</v>
      </c>
      <c r="F1749" t="s">
        <v>99</v>
      </c>
      <c r="G1749" t="s">
        <v>39</v>
      </c>
      <c r="H1749" t="s">
        <v>167</v>
      </c>
      <c r="J1749" t="s">
        <v>168</v>
      </c>
      <c r="K1749" s="2">
        <v>4.5</v>
      </c>
      <c r="L1749">
        <v>20</v>
      </c>
      <c r="M1749">
        <f t="shared" si="27"/>
        <v>90</v>
      </c>
    </row>
    <row r="1750" spans="1:13">
      <c r="A1750" t="s">
        <v>357</v>
      </c>
      <c r="B1750" t="s">
        <v>358</v>
      </c>
      <c r="C1750" s="1">
        <v>39537</v>
      </c>
      <c r="D1750" t="s">
        <v>20</v>
      </c>
      <c r="E1750" t="s">
        <v>21</v>
      </c>
      <c r="F1750" t="s">
        <v>22</v>
      </c>
      <c r="G1750" t="s">
        <v>39</v>
      </c>
      <c r="H1750" t="s">
        <v>167</v>
      </c>
      <c r="J1750" t="s">
        <v>168</v>
      </c>
      <c r="K1750" s="2">
        <v>17.45</v>
      </c>
      <c r="L1750">
        <v>55</v>
      </c>
      <c r="M1750">
        <f t="shared" si="27"/>
        <v>959.75</v>
      </c>
    </row>
    <row r="1751" spans="1:13">
      <c r="A1751" t="s">
        <v>357</v>
      </c>
      <c r="B1751" t="s">
        <v>358</v>
      </c>
      <c r="C1751" s="1">
        <v>39864</v>
      </c>
      <c r="D1751" t="s">
        <v>77</v>
      </c>
      <c r="E1751" t="s">
        <v>67</v>
      </c>
      <c r="F1751" t="s">
        <v>51</v>
      </c>
      <c r="G1751" t="s">
        <v>17</v>
      </c>
      <c r="H1751" t="s">
        <v>167</v>
      </c>
      <c r="J1751" t="s">
        <v>168</v>
      </c>
      <c r="K1751" s="2">
        <v>36.4</v>
      </c>
      <c r="L1751">
        <v>15</v>
      </c>
      <c r="M1751">
        <f t="shared" si="27"/>
        <v>546</v>
      </c>
    </row>
    <row r="1752" spans="1:13">
      <c r="A1752" t="s">
        <v>357</v>
      </c>
      <c r="B1752" t="s">
        <v>358</v>
      </c>
      <c r="C1752" s="1">
        <v>40022</v>
      </c>
      <c r="D1752" t="s">
        <v>96</v>
      </c>
      <c r="E1752" t="s">
        <v>21</v>
      </c>
      <c r="F1752" t="s">
        <v>97</v>
      </c>
      <c r="G1752" t="s">
        <v>17</v>
      </c>
      <c r="H1752" t="s">
        <v>167</v>
      </c>
      <c r="J1752" t="s">
        <v>168</v>
      </c>
      <c r="K1752" s="2">
        <v>18</v>
      </c>
      <c r="L1752">
        <v>80</v>
      </c>
      <c r="M1752">
        <f t="shared" si="27"/>
        <v>1440</v>
      </c>
    </row>
    <row r="1753" spans="1:13">
      <c r="A1753" t="s">
        <v>357</v>
      </c>
      <c r="B1753" t="s">
        <v>358</v>
      </c>
      <c r="C1753" s="1">
        <v>40022</v>
      </c>
      <c r="D1753" t="s">
        <v>86</v>
      </c>
      <c r="E1753" t="s">
        <v>21</v>
      </c>
      <c r="F1753" t="s">
        <v>54</v>
      </c>
      <c r="G1753" t="s">
        <v>17</v>
      </c>
      <c r="H1753" t="s">
        <v>167</v>
      </c>
      <c r="J1753" t="s">
        <v>168</v>
      </c>
      <c r="K1753" s="2">
        <v>34</v>
      </c>
      <c r="L1753">
        <v>40</v>
      </c>
      <c r="M1753">
        <f t="shared" si="27"/>
        <v>1360</v>
      </c>
    </row>
    <row r="1754" spans="1:13">
      <c r="A1754" t="s">
        <v>357</v>
      </c>
      <c r="B1754" t="s">
        <v>358</v>
      </c>
      <c r="C1754" s="1">
        <v>40022</v>
      </c>
      <c r="D1754" t="s">
        <v>119</v>
      </c>
      <c r="E1754" t="s">
        <v>21</v>
      </c>
      <c r="F1754" t="s">
        <v>97</v>
      </c>
      <c r="G1754" t="s">
        <v>17</v>
      </c>
      <c r="H1754" t="s">
        <v>167</v>
      </c>
      <c r="J1754" t="s">
        <v>168</v>
      </c>
      <c r="K1754" s="2">
        <v>20</v>
      </c>
      <c r="L1754">
        <v>18</v>
      </c>
      <c r="M1754">
        <f t="shared" si="27"/>
        <v>360</v>
      </c>
    </row>
    <row r="1755" spans="1:13">
      <c r="A1755" t="s">
        <v>357</v>
      </c>
      <c r="B1755" t="s">
        <v>358</v>
      </c>
      <c r="C1755" s="1">
        <v>40022</v>
      </c>
      <c r="D1755" t="s">
        <v>57</v>
      </c>
      <c r="E1755" t="s">
        <v>21</v>
      </c>
      <c r="F1755" t="s">
        <v>58</v>
      </c>
      <c r="G1755" t="s">
        <v>17</v>
      </c>
      <c r="H1755" t="s">
        <v>167</v>
      </c>
      <c r="J1755" t="s">
        <v>168</v>
      </c>
      <c r="K1755" s="2">
        <v>19</v>
      </c>
      <c r="L1755">
        <v>55</v>
      </c>
      <c r="M1755">
        <f t="shared" si="27"/>
        <v>1045</v>
      </c>
    </row>
    <row r="1756" spans="1:13">
      <c r="A1756" t="s">
        <v>357</v>
      </c>
      <c r="B1756" t="s">
        <v>358</v>
      </c>
      <c r="C1756" s="1">
        <v>40022</v>
      </c>
      <c r="D1756" t="s">
        <v>102</v>
      </c>
      <c r="E1756" t="s">
        <v>21</v>
      </c>
      <c r="F1756" t="s">
        <v>47</v>
      </c>
      <c r="G1756" t="s">
        <v>17</v>
      </c>
      <c r="H1756" t="s">
        <v>167</v>
      </c>
      <c r="J1756" t="s">
        <v>168</v>
      </c>
      <c r="K1756" s="2">
        <v>31</v>
      </c>
      <c r="L1756">
        <v>70</v>
      </c>
      <c r="M1756">
        <f t="shared" si="27"/>
        <v>2170</v>
      </c>
    </row>
    <row r="1757" spans="1:13">
      <c r="A1757" t="s">
        <v>357</v>
      </c>
      <c r="B1757" t="s">
        <v>358</v>
      </c>
      <c r="C1757" s="1">
        <v>39729</v>
      </c>
      <c r="D1757" t="s">
        <v>52</v>
      </c>
      <c r="E1757" t="s">
        <v>103</v>
      </c>
      <c r="F1757" t="s">
        <v>54</v>
      </c>
      <c r="G1757" t="s">
        <v>17</v>
      </c>
      <c r="H1757" t="s">
        <v>167</v>
      </c>
      <c r="J1757" t="s">
        <v>168</v>
      </c>
      <c r="K1757" s="2">
        <v>44</v>
      </c>
      <c r="L1757">
        <v>40</v>
      </c>
      <c r="M1757">
        <f t="shared" si="27"/>
        <v>1760</v>
      </c>
    </row>
    <row r="1758" spans="1:13">
      <c r="A1758" t="s">
        <v>357</v>
      </c>
      <c r="B1758" t="s">
        <v>358</v>
      </c>
      <c r="C1758" s="1">
        <v>39716</v>
      </c>
      <c r="D1758" t="s">
        <v>122</v>
      </c>
      <c r="E1758" t="s">
        <v>21</v>
      </c>
      <c r="F1758" t="s">
        <v>31</v>
      </c>
      <c r="G1758" t="s">
        <v>17</v>
      </c>
      <c r="H1758" t="s">
        <v>167</v>
      </c>
      <c r="J1758" t="s">
        <v>168</v>
      </c>
      <c r="K1758" s="2">
        <v>11.2</v>
      </c>
      <c r="L1758">
        <v>7</v>
      </c>
      <c r="M1758">
        <f t="shared" si="27"/>
        <v>78.399999999999991</v>
      </c>
    </row>
    <row r="1759" spans="1:13">
      <c r="A1759" t="s">
        <v>357</v>
      </c>
      <c r="B1759" t="s">
        <v>358</v>
      </c>
      <c r="C1759" s="1">
        <v>39864</v>
      </c>
      <c r="D1759" t="s">
        <v>73</v>
      </c>
      <c r="E1759" t="s">
        <v>67</v>
      </c>
      <c r="F1759" t="s">
        <v>74</v>
      </c>
      <c r="G1759" t="s">
        <v>17</v>
      </c>
      <c r="H1759" t="s">
        <v>167</v>
      </c>
      <c r="J1759" t="s">
        <v>168</v>
      </c>
      <c r="K1759" s="2">
        <v>15.5</v>
      </c>
      <c r="L1759">
        <v>100</v>
      </c>
      <c r="M1759">
        <f t="shared" si="27"/>
        <v>1550</v>
      </c>
    </row>
    <row r="1760" spans="1:13">
      <c r="A1760" t="s">
        <v>357</v>
      </c>
      <c r="B1760" t="s">
        <v>358</v>
      </c>
      <c r="C1760" s="1">
        <v>39569</v>
      </c>
      <c r="D1760" t="s">
        <v>48</v>
      </c>
      <c r="E1760" t="s">
        <v>21</v>
      </c>
      <c r="F1760" t="s">
        <v>22</v>
      </c>
      <c r="G1760" t="s">
        <v>39</v>
      </c>
      <c r="H1760" t="s">
        <v>167</v>
      </c>
      <c r="J1760" t="s">
        <v>168</v>
      </c>
      <c r="K1760" s="2">
        <v>39</v>
      </c>
      <c r="L1760">
        <v>77</v>
      </c>
      <c r="M1760">
        <f t="shared" si="27"/>
        <v>3003</v>
      </c>
    </row>
    <row r="1761" spans="1:13">
      <c r="A1761" t="s">
        <v>357</v>
      </c>
      <c r="B1761" t="s">
        <v>358</v>
      </c>
      <c r="C1761" s="1">
        <v>40012</v>
      </c>
      <c r="D1761" t="s">
        <v>117</v>
      </c>
      <c r="E1761" t="s">
        <v>67</v>
      </c>
      <c r="F1761" t="s">
        <v>118</v>
      </c>
      <c r="G1761" t="s">
        <v>17</v>
      </c>
      <c r="H1761" t="s">
        <v>167</v>
      </c>
      <c r="J1761" t="s">
        <v>168</v>
      </c>
      <c r="K1761" s="2">
        <v>21</v>
      </c>
      <c r="L1761">
        <v>48</v>
      </c>
      <c r="M1761">
        <f t="shared" si="27"/>
        <v>1008</v>
      </c>
    </row>
    <row r="1762" spans="1:13">
      <c r="A1762" t="s">
        <v>357</v>
      </c>
      <c r="B1762" t="s">
        <v>358</v>
      </c>
      <c r="C1762" s="1">
        <v>39452</v>
      </c>
      <c r="D1762" t="s">
        <v>40</v>
      </c>
      <c r="E1762" t="s">
        <v>53</v>
      </c>
      <c r="F1762" t="s">
        <v>41</v>
      </c>
      <c r="G1762" t="s">
        <v>39</v>
      </c>
      <c r="H1762" t="s">
        <v>167</v>
      </c>
      <c r="J1762" t="s">
        <v>168</v>
      </c>
      <c r="K1762" s="2">
        <v>2.5</v>
      </c>
      <c r="L1762">
        <v>16</v>
      </c>
      <c r="M1762">
        <f t="shared" si="27"/>
        <v>40</v>
      </c>
    </row>
    <row r="1763" spans="1:13">
      <c r="A1763" t="s">
        <v>357</v>
      </c>
      <c r="B1763" t="s">
        <v>358</v>
      </c>
      <c r="C1763" s="1">
        <v>40012</v>
      </c>
      <c r="D1763" t="s">
        <v>119</v>
      </c>
      <c r="E1763" t="s">
        <v>67</v>
      </c>
      <c r="F1763" t="s">
        <v>97</v>
      </c>
      <c r="G1763" t="s">
        <v>17</v>
      </c>
      <c r="H1763" t="s">
        <v>167</v>
      </c>
      <c r="J1763" t="s">
        <v>168</v>
      </c>
      <c r="K1763" s="2">
        <v>20</v>
      </c>
      <c r="L1763">
        <v>25</v>
      </c>
      <c r="M1763">
        <f t="shared" si="27"/>
        <v>500</v>
      </c>
    </row>
    <row r="1764" spans="1:13">
      <c r="A1764" t="s">
        <v>357</v>
      </c>
      <c r="B1764" t="s">
        <v>358</v>
      </c>
      <c r="C1764" s="1">
        <v>40115</v>
      </c>
      <c r="D1764" t="s">
        <v>36</v>
      </c>
      <c r="E1764" t="s">
        <v>67</v>
      </c>
      <c r="F1764" t="s">
        <v>37</v>
      </c>
      <c r="G1764" t="s">
        <v>17</v>
      </c>
      <c r="H1764" t="s">
        <v>167</v>
      </c>
      <c r="J1764" t="s">
        <v>168</v>
      </c>
      <c r="K1764" s="2">
        <v>19</v>
      </c>
      <c r="L1764">
        <v>3</v>
      </c>
      <c r="M1764">
        <f t="shared" si="27"/>
        <v>57</v>
      </c>
    </row>
    <row r="1765" spans="1:13">
      <c r="A1765" t="s">
        <v>357</v>
      </c>
      <c r="B1765" t="s">
        <v>358</v>
      </c>
      <c r="C1765" s="1">
        <v>40115</v>
      </c>
      <c r="D1765" t="s">
        <v>137</v>
      </c>
      <c r="E1765" t="s">
        <v>67</v>
      </c>
      <c r="F1765" t="s">
        <v>76</v>
      </c>
      <c r="G1765" t="s">
        <v>17</v>
      </c>
      <c r="H1765" t="s">
        <v>167</v>
      </c>
      <c r="J1765" t="s">
        <v>168</v>
      </c>
      <c r="K1765" s="2">
        <v>12.5</v>
      </c>
      <c r="L1765">
        <v>50</v>
      </c>
      <c r="M1765">
        <f t="shared" si="27"/>
        <v>625</v>
      </c>
    </row>
    <row r="1766" spans="1:13">
      <c r="A1766" t="s">
        <v>357</v>
      </c>
      <c r="B1766" t="s">
        <v>358</v>
      </c>
      <c r="C1766" s="1">
        <v>40115</v>
      </c>
      <c r="D1766" t="s">
        <v>82</v>
      </c>
      <c r="E1766" t="s">
        <v>67</v>
      </c>
      <c r="F1766" t="s">
        <v>35</v>
      </c>
      <c r="G1766" t="s">
        <v>17</v>
      </c>
      <c r="H1766" t="s">
        <v>167</v>
      </c>
      <c r="J1766" t="s">
        <v>168</v>
      </c>
      <c r="K1766" s="2">
        <v>12.5</v>
      </c>
      <c r="L1766">
        <v>45</v>
      </c>
      <c r="M1766">
        <f t="shared" si="27"/>
        <v>562.5</v>
      </c>
    </row>
    <row r="1767" spans="1:13">
      <c r="A1767" t="s">
        <v>357</v>
      </c>
      <c r="B1767" t="s">
        <v>358</v>
      </c>
      <c r="C1767" s="1">
        <v>40115</v>
      </c>
      <c r="D1767" t="s">
        <v>71</v>
      </c>
      <c r="E1767" t="s">
        <v>67</v>
      </c>
      <c r="F1767" t="s">
        <v>51</v>
      </c>
      <c r="G1767" t="s">
        <v>17</v>
      </c>
      <c r="H1767" t="s">
        <v>167</v>
      </c>
      <c r="J1767" t="s">
        <v>168</v>
      </c>
      <c r="K1767" s="2">
        <v>7.75</v>
      </c>
      <c r="L1767">
        <v>42</v>
      </c>
      <c r="M1767">
        <f t="shared" si="27"/>
        <v>325.5</v>
      </c>
    </row>
    <row r="1768" spans="1:13">
      <c r="A1768" t="s">
        <v>357</v>
      </c>
      <c r="B1768" t="s">
        <v>358</v>
      </c>
      <c r="C1768" s="1">
        <v>39569</v>
      </c>
      <c r="D1768" t="s">
        <v>82</v>
      </c>
      <c r="E1768" t="s">
        <v>21</v>
      </c>
      <c r="F1768" t="s">
        <v>35</v>
      </c>
      <c r="G1768" t="s">
        <v>39</v>
      </c>
      <c r="H1768" t="s">
        <v>167</v>
      </c>
      <c r="J1768" t="s">
        <v>168</v>
      </c>
      <c r="K1768" s="2">
        <v>12.5</v>
      </c>
      <c r="L1768">
        <v>55</v>
      </c>
      <c r="M1768">
        <f t="shared" si="27"/>
        <v>687.5</v>
      </c>
    </row>
    <row r="1769" spans="1:13">
      <c r="A1769" t="s">
        <v>357</v>
      </c>
      <c r="B1769" t="s">
        <v>358</v>
      </c>
      <c r="C1769" s="1">
        <v>39716</v>
      </c>
      <c r="D1769" t="s">
        <v>30</v>
      </c>
      <c r="E1769" t="s">
        <v>21</v>
      </c>
      <c r="F1769" t="s">
        <v>31</v>
      </c>
      <c r="G1769" t="s">
        <v>17</v>
      </c>
      <c r="H1769" t="s">
        <v>167</v>
      </c>
      <c r="J1769" t="s">
        <v>168</v>
      </c>
      <c r="K1769" s="2">
        <v>24.9</v>
      </c>
      <c r="L1769">
        <v>70</v>
      </c>
      <c r="M1769">
        <f t="shared" si="27"/>
        <v>1743</v>
      </c>
    </row>
    <row r="1770" spans="1:13">
      <c r="A1770" t="s">
        <v>357</v>
      </c>
      <c r="B1770" t="s">
        <v>358</v>
      </c>
      <c r="C1770" s="1">
        <v>40035</v>
      </c>
      <c r="D1770" t="s">
        <v>65</v>
      </c>
      <c r="E1770" t="s">
        <v>67</v>
      </c>
      <c r="F1770" t="s">
        <v>58</v>
      </c>
      <c r="G1770" t="s">
        <v>17</v>
      </c>
      <c r="H1770" t="s">
        <v>167</v>
      </c>
      <c r="J1770" t="s">
        <v>168</v>
      </c>
      <c r="K1770" s="2">
        <v>15</v>
      </c>
      <c r="L1770">
        <v>35</v>
      </c>
      <c r="M1770">
        <f t="shared" si="27"/>
        <v>525</v>
      </c>
    </row>
    <row r="1771" spans="1:13">
      <c r="A1771" t="s">
        <v>357</v>
      </c>
      <c r="B1771" t="s">
        <v>358</v>
      </c>
      <c r="C1771" s="1">
        <v>39716</v>
      </c>
      <c r="D1771" t="s">
        <v>153</v>
      </c>
      <c r="E1771" t="s">
        <v>21</v>
      </c>
      <c r="F1771" t="s">
        <v>125</v>
      </c>
      <c r="G1771" t="s">
        <v>17</v>
      </c>
      <c r="H1771" t="s">
        <v>167</v>
      </c>
      <c r="J1771" t="s">
        <v>168</v>
      </c>
      <c r="K1771" s="2">
        <v>18.600000000000001</v>
      </c>
      <c r="L1771">
        <v>42</v>
      </c>
      <c r="M1771">
        <f t="shared" si="27"/>
        <v>781.2</v>
      </c>
    </row>
    <row r="1772" spans="1:13">
      <c r="A1772" t="s">
        <v>357</v>
      </c>
      <c r="B1772" t="s">
        <v>358</v>
      </c>
      <c r="C1772" s="1">
        <v>39716</v>
      </c>
      <c r="D1772" t="s">
        <v>36</v>
      </c>
      <c r="E1772" t="s">
        <v>21</v>
      </c>
      <c r="F1772" t="s">
        <v>37</v>
      </c>
      <c r="G1772" t="s">
        <v>17</v>
      </c>
      <c r="H1772" t="s">
        <v>167</v>
      </c>
      <c r="J1772" t="s">
        <v>168</v>
      </c>
      <c r="K1772" s="2">
        <v>15.2</v>
      </c>
      <c r="L1772">
        <v>25</v>
      </c>
      <c r="M1772">
        <f t="shared" si="27"/>
        <v>380</v>
      </c>
    </row>
    <row r="1773" spans="1:13">
      <c r="A1773" t="s">
        <v>357</v>
      </c>
      <c r="B1773" t="s">
        <v>358</v>
      </c>
      <c r="C1773" s="1">
        <v>40035</v>
      </c>
      <c r="D1773" t="s">
        <v>38</v>
      </c>
      <c r="E1773" t="s">
        <v>67</v>
      </c>
      <c r="F1773" t="s">
        <v>29</v>
      </c>
      <c r="G1773" t="s">
        <v>17</v>
      </c>
      <c r="H1773" t="s">
        <v>167</v>
      </c>
      <c r="J1773" t="s">
        <v>168</v>
      </c>
      <c r="K1773" s="2">
        <v>49.3</v>
      </c>
      <c r="L1773">
        <v>15</v>
      </c>
      <c r="M1773">
        <f t="shared" si="27"/>
        <v>739.5</v>
      </c>
    </row>
    <row r="1774" spans="1:13">
      <c r="A1774" t="s">
        <v>357</v>
      </c>
      <c r="B1774" t="s">
        <v>358</v>
      </c>
      <c r="C1774" s="1">
        <v>39569</v>
      </c>
      <c r="D1774" t="s">
        <v>133</v>
      </c>
      <c r="E1774" t="s">
        <v>21</v>
      </c>
      <c r="F1774" t="s">
        <v>134</v>
      </c>
      <c r="G1774" t="s">
        <v>39</v>
      </c>
      <c r="H1774" t="s">
        <v>167</v>
      </c>
      <c r="J1774" t="s">
        <v>168</v>
      </c>
      <c r="K1774" s="2">
        <v>9.65</v>
      </c>
      <c r="L1774">
        <v>12</v>
      </c>
      <c r="M1774">
        <f t="shared" si="27"/>
        <v>115.80000000000001</v>
      </c>
    </row>
    <row r="1775" spans="1:13">
      <c r="A1775" t="s">
        <v>357</v>
      </c>
      <c r="B1775" t="s">
        <v>358</v>
      </c>
      <c r="C1775" s="1">
        <v>39569</v>
      </c>
      <c r="D1775" t="s">
        <v>32</v>
      </c>
      <c r="E1775" t="s">
        <v>21</v>
      </c>
      <c r="F1775" t="s">
        <v>33</v>
      </c>
      <c r="G1775" t="s">
        <v>39</v>
      </c>
      <c r="H1775" t="s">
        <v>167</v>
      </c>
      <c r="J1775" t="s">
        <v>168</v>
      </c>
      <c r="K1775" s="2">
        <v>32.799999999999997</v>
      </c>
      <c r="L1775">
        <v>25</v>
      </c>
      <c r="M1775">
        <f t="shared" si="27"/>
        <v>819.99999999999989</v>
      </c>
    </row>
    <row r="1776" spans="1:13">
      <c r="A1776" t="s">
        <v>357</v>
      </c>
      <c r="B1776" t="s">
        <v>358</v>
      </c>
      <c r="C1776" s="1">
        <v>40108</v>
      </c>
      <c r="D1776" t="s">
        <v>70</v>
      </c>
      <c r="E1776" t="s">
        <v>21</v>
      </c>
      <c r="F1776" t="s">
        <v>61</v>
      </c>
      <c r="G1776" t="s">
        <v>17</v>
      </c>
      <c r="H1776" t="s">
        <v>167</v>
      </c>
      <c r="J1776" t="s">
        <v>168</v>
      </c>
      <c r="K1776" s="2">
        <v>12</v>
      </c>
      <c r="L1776">
        <v>24</v>
      </c>
      <c r="M1776">
        <f t="shared" si="27"/>
        <v>288</v>
      </c>
    </row>
    <row r="1777" spans="1:13">
      <c r="A1777" t="s">
        <v>357</v>
      </c>
      <c r="B1777" t="s">
        <v>358</v>
      </c>
      <c r="C1777" s="1">
        <v>40108</v>
      </c>
      <c r="D1777" t="s">
        <v>60</v>
      </c>
      <c r="E1777" t="s">
        <v>21</v>
      </c>
      <c r="F1777" t="s">
        <v>61</v>
      </c>
      <c r="G1777" t="s">
        <v>17</v>
      </c>
      <c r="H1777" t="s">
        <v>167</v>
      </c>
      <c r="J1777" t="s">
        <v>168</v>
      </c>
      <c r="K1777" s="2">
        <v>9.5</v>
      </c>
      <c r="L1777">
        <v>110</v>
      </c>
      <c r="M1777">
        <f t="shared" si="27"/>
        <v>1045</v>
      </c>
    </row>
    <row r="1778" spans="1:13">
      <c r="A1778" t="s">
        <v>357</v>
      </c>
      <c r="B1778" t="s">
        <v>358</v>
      </c>
      <c r="C1778" s="1">
        <v>40108</v>
      </c>
      <c r="D1778" t="s">
        <v>30</v>
      </c>
      <c r="E1778" t="s">
        <v>21</v>
      </c>
      <c r="F1778" t="s">
        <v>31</v>
      </c>
      <c r="G1778" t="s">
        <v>17</v>
      </c>
      <c r="H1778" t="s">
        <v>167</v>
      </c>
      <c r="J1778" t="s">
        <v>168</v>
      </c>
      <c r="K1778" s="2">
        <v>31.23</v>
      </c>
      <c r="L1778">
        <v>30</v>
      </c>
      <c r="M1778">
        <f t="shared" si="27"/>
        <v>936.9</v>
      </c>
    </row>
    <row r="1779" spans="1:13">
      <c r="A1779" t="s">
        <v>357</v>
      </c>
      <c r="B1779" t="s">
        <v>358</v>
      </c>
      <c r="C1779" s="1">
        <v>40108</v>
      </c>
      <c r="D1779" t="s">
        <v>102</v>
      </c>
      <c r="E1779" t="s">
        <v>21</v>
      </c>
      <c r="F1779" t="s">
        <v>47</v>
      </c>
      <c r="G1779" t="s">
        <v>17</v>
      </c>
      <c r="H1779" t="s">
        <v>167</v>
      </c>
      <c r="J1779" t="s">
        <v>168</v>
      </c>
      <c r="K1779" s="2">
        <v>31</v>
      </c>
      <c r="L1779">
        <v>18</v>
      </c>
      <c r="M1779">
        <f t="shared" si="27"/>
        <v>558</v>
      </c>
    </row>
    <row r="1780" spans="1:13">
      <c r="A1780" t="s">
        <v>357</v>
      </c>
      <c r="B1780" t="s">
        <v>358</v>
      </c>
      <c r="C1780" s="1">
        <v>39569</v>
      </c>
      <c r="D1780" t="s">
        <v>148</v>
      </c>
      <c r="E1780" t="s">
        <v>21</v>
      </c>
      <c r="F1780" t="s">
        <v>16</v>
      </c>
      <c r="G1780" t="s">
        <v>39</v>
      </c>
      <c r="H1780" t="s">
        <v>167</v>
      </c>
      <c r="J1780" t="s">
        <v>168</v>
      </c>
      <c r="K1780" s="2">
        <v>24</v>
      </c>
      <c r="L1780">
        <v>4</v>
      </c>
      <c r="M1780">
        <f t="shared" si="27"/>
        <v>96</v>
      </c>
    </row>
    <row r="1781" spans="1:13">
      <c r="A1781" t="s">
        <v>357</v>
      </c>
      <c r="B1781" t="s">
        <v>358</v>
      </c>
      <c r="C1781" s="1">
        <v>39716</v>
      </c>
      <c r="D1781" t="s">
        <v>137</v>
      </c>
      <c r="E1781" t="s">
        <v>21</v>
      </c>
      <c r="F1781" t="s">
        <v>76</v>
      </c>
      <c r="G1781" t="s">
        <v>17</v>
      </c>
      <c r="H1781" t="s">
        <v>167</v>
      </c>
      <c r="J1781" t="s">
        <v>168</v>
      </c>
      <c r="K1781" s="2">
        <v>10</v>
      </c>
      <c r="L1781">
        <v>32</v>
      </c>
      <c r="M1781">
        <f t="shared" si="27"/>
        <v>320</v>
      </c>
    </row>
    <row r="1782" spans="1:13">
      <c r="A1782" t="s">
        <v>357</v>
      </c>
      <c r="B1782" t="s">
        <v>358</v>
      </c>
      <c r="C1782" s="1">
        <v>39854</v>
      </c>
      <c r="D1782" t="s">
        <v>36</v>
      </c>
      <c r="E1782" t="s">
        <v>24</v>
      </c>
      <c r="F1782" t="s">
        <v>37</v>
      </c>
      <c r="G1782" t="s">
        <v>17</v>
      </c>
      <c r="H1782" t="s">
        <v>167</v>
      </c>
      <c r="J1782" t="s">
        <v>168</v>
      </c>
      <c r="K1782" s="2">
        <v>15.2</v>
      </c>
      <c r="L1782">
        <v>45</v>
      </c>
      <c r="M1782">
        <f t="shared" si="27"/>
        <v>684</v>
      </c>
    </row>
    <row r="1783" spans="1:13">
      <c r="A1783" t="s">
        <v>357</v>
      </c>
      <c r="B1783" t="s">
        <v>358</v>
      </c>
      <c r="C1783" s="1">
        <v>39534</v>
      </c>
      <c r="D1783" t="s">
        <v>124</v>
      </c>
      <c r="E1783" t="s">
        <v>53</v>
      </c>
      <c r="F1783" t="s">
        <v>125</v>
      </c>
      <c r="G1783" t="s">
        <v>39</v>
      </c>
      <c r="H1783" t="s">
        <v>167</v>
      </c>
      <c r="J1783" t="s">
        <v>168</v>
      </c>
      <c r="K1783" s="2">
        <v>6</v>
      </c>
      <c r="L1783">
        <v>84</v>
      </c>
      <c r="M1783">
        <f t="shared" si="27"/>
        <v>504</v>
      </c>
    </row>
    <row r="1784" spans="1:13">
      <c r="A1784" t="s">
        <v>357</v>
      </c>
      <c r="B1784" t="s">
        <v>358</v>
      </c>
      <c r="C1784" s="1">
        <v>40113</v>
      </c>
      <c r="D1784" t="s">
        <v>59</v>
      </c>
      <c r="E1784" t="s">
        <v>89</v>
      </c>
      <c r="F1784" t="s">
        <v>45</v>
      </c>
      <c r="G1784" t="s">
        <v>39</v>
      </c>
      <c r="H1784" t="s">
        <v>167</v>
      </c>
      <c r="J1784" t="s">
        <v>168</v>
      </c>
      <c r="K1784" s="2">
        <v>14</v>
      </c>
      <c r="L1784">
        <v>30</v>
      </c>
      <c r="M1784">
        <f t="shared" si="27"/>
        <v>420</v>
      </c>
    </row>
    <row r="1785" spans="1:13">
      <c r="A1785" t="s">
        <v>357</v>
      </c>
      <c r="B1785" t="s">
        <v>358</v>
      </c>
      <c r="C1785" s="1">
        <v>40113</v>
      </c>
      <c r="D1785" t="s">
        <v>52</v>
      </c>
      <c r="E1785" t="s">
        <v>89</v>
      </c>
      <c r="F1785" t="s">
        <v>54</v>
      </c>
      <c r="G1785" t="s">
        <v>39</v>
      </c>
      <c r="H1785" t="s">
        <v>167</v>
      </c>
      <c r="J1785" t="s">
        <v>168</v>
      </c>
      <c r="K1785" s="2">
        <v>55</v>
      </c>
      <c r="L1785">
        <v>7</v>
      </c>
      <c r="M1785">
        <f t="shared" si="27"/>
        <v>385</v>
      </c>
    </row>
    <row r="1786" spans="1:13">
      <c r="A1786" t="s">
        <v>357</v>
      </c>
      <c r="B1786" t="s">
        <v>358</v>
      </c>
      <c r="C1786" s="1">
        <v>40113</v>
      </c>
      <c r="D1786" t="s">
        <v>38</v>
      </c>
      <c r="E1786" t="s">
        <v>89</v>
      </c>
      <c r="F1786" t="s">
        <v>29</v>
      </c>
      <c r="G1786" t="s">
        <v>39</v>
      </c>
      <c r="H1786" t="s">
        <v>167</v>
      </c>
      <c r="J1786" t="s">
        <v>168</v>
      </c>
      <c r="K1786" s="2">
        <v>49.3</v>
      </c>
      <c r="L1786">
        <v>30</v>
      </c>
      <c r="M1786">
        <f t="shared" si="27"/>
        <v>1479</v>
      </c>
    </row>
    <row r="1787" spans="1:13">
      <c r="A1787" t="s">
        <v>357</v>
      </c>
      <c r="B1787" t="s">
        <v>358</v>
      </c>
      <c r="C1787" s="1">
        <v>40113</v>
      </c>
      <c r="D1787" t="s">
        <v>147</v>
      </c>
      <c r="E1787" t="s">
        <v>89</v>
      </c>
      <c r="F1787" t="s">
        <v>51</v>
      </c>
      <c r="G1787" t="s">
        <v>39</v>
      </c>
      <c r="H1787" t="s">
        <v>167</v>
      </c>
      <c r="J1787" t="s">
        <v>168</v>
      </c>
      <c r="K1787" s="2">
        <v>33.25</v>
      </c>
      <c r="L1787">
        <v>24</v>
      </c>
      <c r="M1787">
        <f t="shared" si="27"/>
        <v>798</v>
      </c>
    </row>
    <row r="1788" spans="1:13">
      <c r="A1788" t="s">
        <v>357</v>
      </c>
      <c r="B1788" t="s">
        <v>358</v>
      </c>
      <c r="C1788" s="1">
        <v>39921</v>
      </c>
      <c r="D1788" t="s">
        <v>88</v>
      </c>
      <c r="E1788" t="s">
        <v>89</v>
      </c>
      <c r="F1788" t="s">
        <v>51</v>
      </c>
      <c r="G1788" t="s">
        <v>17</v>
      </c>
      <c r="H1788" t="s">
        <v>167</v>
      </c>
      <c r="J1788" t="s">
        <v>168</v>
      </c>
      <c r="K1788" s="2">
        <v>123.79</v>
      </c>
      <c r="L1788">
        <v>36</v>
      </c>
      <c r="M1788">
        <f t="shared" si="27"/>
        <v>4456.4400000000005</v>
      </c>
    </row>
    <row r="1789" spans="1:13">
      <c r="A1789" t="s">
        <v>357</v>
      </c>
      <c r="B1789" t="s">
        <v>358</v>
      </c>
      <c r="C1789" s="1">
        <v>39921</v>
      </c>
      <c r="D1789" t="s">
        <v>71</v>
      </c>
      <c r="E1789" t="s">
        <v>89</v>
      </c>
      <c r="F1789" t="s">
        <v>51</v>
      </c>
      <c r="G1789" t="s">
        <v>17</v>
      </c>
      <c r="H1789" t="s">
        <v>167</v>
      </c>
      <c r="J1789" t="s">
        <v>168</v>
      </c>
      <c r="K1789" s="2">
        <v>7.75</v>
      </c>
      <c r="L1789">
        <v>36</v>
      </c>
      <c r="M1789">
        <f t="shared" si="27"/>
        <v>279</v>
      </c>
    </row>
    <row r="1790" spans="1:13">
      <c r="A1790" t="s">
        <v>357</v>
      </c>
      <c r="B1790" t="s">
        <v>358</v>
      </c>
      <c r="C1790" s="1">
        <v>39966</v>
      </c>
      <c r="D1790" t="s">
        <v>153</v>
      </c>
      <c r="E1790" t="s">
        <v>89</v>
      </c>
      <c r="F1790" t="s">
        <v>125</v>
      </c>
      <c r="G1790" t="s">
        <v>17</v>
      </c>
      <c r="H1790" t="s">
        <v>167</v>
      </c>
      <c r="J1790" t="s">
        <v>168</v>
      </c>
      <c r="K1790" s="2">
        <v>23.25</v>
      </c>
      <c r="L1790">
        <v>30</v>
      </c>
      <c r="M1790">
        <f t="shared" si="27"/>
        <v>697.5</v>
      </c>
    </row>
    <row r="1791" spans="1:13">
      <c r="A1791" t="s">
        <v>357</v>
      </c>
      <c r="B1791" t="s">
        <v>358</v>
      </c>
      <c r="C1791" s="1">
        <v>39469</v>
      </c>
      <c r="D1791" t="s">
        <v>86</v>
      </c>
      <c r="E1791" t="s">
        <v>24</v>
      </c>
      <c r="F1791" t="s">
        <v>54</v>
      </c>
      <c r="G1791" t="s">
        <v>39</v>
      </c>
      <c r="H1791" t="s">
        <v>167</v>
      </c>
      <c r="J1791" t="s">
        <v>168</v>
      </c>
      <c r="K1791" s="2">
        <v>34</v>
      </c>
      <c r="L1791">
        <v>45</v>
      </c>
      <c r="M1791">
        <f t="shared" si="27"/>
        <v>1530</v>
      </c>
    </row>
    <row r="1792" spans="1:13">
      <c r="A1792" t="s">
        <v>357</v>
      </c>
      <c r="B1792" t="s">
        <v>358</v>
      </c>
      <c r="C1792" s="1">
        <v>39854</v>
      </c>
      <c r="D1792" t="s">
        <v>28</v>
      </c>
      <c r="E1792" t="s">
        <v>24</v>
      </c>
      <c r="F1792" t="s">
        <v>29</v>
      </c>
      <c r="G1792" t="s">
        <v>17</v>
      </c>
      <c r="H1792" t="s">
        <v>167</v>
      </c>
      <c r="J1792" t="s">
        <v>168</v>
      </c>
      <c r="K1792" s="2">
        <v>22.8</v>
      </c>
      <c r="L1792">
        <v>90</v>
      </c>
      <c r="M1792">
        <f t="shared" si="27"/>
        <v>2052</v>
      </c>
    </row>
    <row r="1793" spans="1:13">
      <c r="A1793" t="s">
        <v>357</v>
      </c>
      <c r="B1793" t="s">
        <v>358</v>
      </c>
      <c r="C1793" s="1">
        <v>39854</v>
      </c>
      <c r="D1793" t="s">
        <v>20</v>
      </c>
      <c r="E1793" t="s">
        <v>24</v>
      </c>
      <c r="F1793" t="s">
        <v>22</v>
      </c>
      <c r="G1793" t="s">
        <v>17</v>
      </c>
      <c r="H1793" t="s">
        <v>167</v>
      </c>
      <c r="J1793" t="s">
        <v>168</v>
      </c>
      <c r="K1793" s="2">
        <v>13.9</v>
      </c>
      <c r="L1793">
        <v>49</v>
      </c>
      <c r="M1793">
        <f t="shared" si="27"/>
        <v>681.1</v>
      </c>
    </row>
    <row r="1794" spans="1:13">
      <c r="A1794" t="s">
        <v>357</v>
      </c>
      <c r="B1794" t="s">
        <v>358</v>
      </c>
      <c r="C1794" s="1">
        <v>39966</v>
      </c>
      <c r="D1794" t="s">
        <v>98</v>
      </c>
      <c r="E1794" t="s">
        <v>89</v>
      </c>
      <c r="F1794" t="s">
        <v>99</v>
      </c>
      <c r="G1794" t="s">
        <v>17</v>
      </c>
      <c r="H1794" t="s">
        <v>167</v>
      </c>
      <c r="J1794" t="s">
        <v>168</v>
      </c>
      <c r="K1794" s="2">
        <v>4.5</v>
      </c>
      <c r="L1794">
        <v>18</v>
      </c>
      <c r="M1794">
        <f t="shared" si="27"/>
        <v>81</v>
      </c>
    </row>
    <row r="1795" spans="1:13">
      <c r="A1795" t="s">
        <v>357</v>
      </c>
      <c r="B1795" t="s">
        <v>358</v>
      </c>
      <c r="C1795" s="1">
        <v>39544</v>
      </c>
      <c r="D1795" t="s">
        <v>110</v>
      </c>
      <c r="E1795" t="s">
        <v>24</v>
      </c>
      <c r="F1795" t="s">
        <v>74</v>
      </c>
      <c r="G1795" t="s">
        <v>39</v>
      </c>
      <c r="H1795" t="s">
        <v>167</v>
      </c>
      <c r="J1795" t="s">
        <v>168</v>
      </c>
      <c r="K1795" s="2">
        <v>14</v>
      </c>
      <c r="L1795">
        <v>24</v>
      </c>
      <c r="M1795">
        <f t="shared" ref="M1795:M1858" si="28">K1795*L1795</f>
        <v>336</v>
      </c>
    </row>
    <row r="1796" spans="1:13">
      <c r="A1796" t="s">
        <v>357</v>
      </c>
      <c r="B1796" t="s">
        <v>358</v>
      </c>
      <c r="C1796" s="1">
        <v>39966</v>
      </c>
      <c r="D1796" t="s">
        <v>62</v>
      </c>
      <c r="E1796" t="s">
        <v>89</v>
      </c>
      <c r="F1796" t="s">
        <v>63</v>
      </c>
      <c r="G1796" t="s">
        <v>17</v>
      </c>
      <c r="H1796" t="s">
        <v>167</v>
      </c>
      <c r="J1796" t="s">
        <v>168</v>
      </c>
      <c r="K1796" s="2">
        <v>38</v>
      </c>
      <c r="L1796">
        <v>40</v>
      </c>
      <c r="M1796">
        <f t="shared" si="28"/>
        <v>1520</v>
      </c>
    </row>
    <row r="1797" spans="1:13">
      <c r="A1797" t="s">
        <v>357</v>
      </c>
      <c r="B1797" t="s">
        <v>358</v>
      </c>
      <c r="C1797" s="1">
        <v>39544</v>
      </c>
      <c r="D1797" t="s">
        <v>44</v>
      </c>
      <c r="E1797" t="s">
        <v>24</v>
      </c>
      <c r="F1797" t="s">
        <v>45</v>
      </c>
      <c r="G1797" t="s">
        <v>39</v>
      </c>
      <c r="H1797" t="s">
        <v>167</v>
      </c>
      <c r="J1797" t="s">
        <v>168</v>
      </c>
      <c r="K1797" s="2">
        <v>18</v>
      </c>
      <c r="L1797">
        <v>15</v>
      </c>
      <c r="M1797">
        <f t="shared" si="28"/>
        <v>270</v>
      </c>
    </row>
    <row r="1798" spans="1:13">
      <c r="A1798" t="s">
        <v>357</v>
      </c>
      <c r="B1798" t="s">
        <v>358</v>
      </c>
      <c r="C1798" s="1">
        <v>40106</v>
      </c>
      <c r="D1798" t="s">
        <v>62</v>
      </c>
      <c r="E1798" t="s">
        <v>15</v>
      </c>
      <c r="F1798" t="s">
        <v>63</v>
      </c>
      <c r="G1798" t="s">
        <v>39</v>
      </c>
      <c r="H1798" t="s">
        <v>167</v>
      </c>
      <c r="J1798" t="s">
        <v>168</v>
      </c>
      <c r="K1798" s="2">
        <v>38</v>
      </c>
      <c r="L1798">
        <v>28</v>
      </c>
      <c r="M1798">
        <f t="shared" si="28"/>
        <v>1064</v>
      </c>
    </row>
    <row r="1799" spans="1:13">
      <c r="A1799" t="s">
        <v>357</v>
      </c>
      <c r="B1799" t="s">
        <v>358</v>
      </c>
      <c r="C1799" s="1">
        <v>40106</v>
      </c>
      <c r="D1799" t="s">
        <v>185</v>
      </c>
      <c r="E1799" t="s">
        <v>15</v>
      </c>
      <c r="F1799" t="s">
        <v>134</v>
      </c>
      <c r="G1799" t="s">
        <v>39</v>
      </c>
      <c r="H1799" t="s">
        <v>167</v>
      </c>
      <c r="J1799" t="s">
        <v>168</v>
      </c>
      <c r="K1799" s="2">
        <v>18.399999999999999</v>
      </c>
      <c r="L1799">
        <v>40</v>
      </c>
      <c r="M1799">
        <f t="shared" si="28"/>
        <v>736</v>
      </c>
    </row>
    <row r="1800" spans="1:13">
      <c r="A1800" t="s">
        <v>357</v>
      </c>
      <c r="B1800" t="s">
        <v>358</v>
      </c>
      <c r="C1800" s="1">
        <v>40106</v>
      </c>
      <c r="D1800" t="s">
        <v>130</v>
      </c>
      <c r="E1800" t="s">
        <v>15</v>
      </c>
      <c r="F1800" t="s">
        <v>118</v>
      </c>
      <c r="G1800" t="s">
        <v>39</v>
      </c>
      <c r="H1800" t="s">
        <v>167</v>
      </c>
      <c r="J1800" t="s">
        <v>168</v>
      </c>
      <c r="K1800" s="2">
        <v>9</v>
      </c>
      <c r="L1800">
        <v>44</v>
      </c>
      <c r="M1800">
        <f t="shared" si="28"/>
        <v>396</v>
      </c>
    </row>
    <row r="1801" spans="1:13">
      <c r="A1801" t="s">
        <v>357</v>
      </c>
      <c r="B1801" t="s">
        <v>358</v>
      </c>
      <c r="C1801" s="1">
        <v>40096</v>
      </c>
      <c r="D1801" t="s">
        <v>121</v>
      </c>
      <c r="E1801" t="s">
        <v>15</v>
      </c>
      <c r="F1801" t="s">
        <v>41</v>
      </c>
      <c r="G1801" t="s">
        <v>17</v>
      </c>
      <c r="H1801" t="s">
        <v>167</v>
      </c>
      <c r="J1801" t="s">
        <v>168</v>
      </c>
      <c r="K1801" s="2">
        <v>21.5</v>
      </c>
      <c r="L1801">
        <v>60</v>
      </c>
      <c r="M1801">
        <f t="shared" si="28"/>
        <v>1290</v>
      </c>
    </row>
    <row r="1802" spans="1:13">
      <c r="A1802" t="s">
        <v>357</v>
      </c>
      <c r="B1802" t="s">
        <v>358</v>
      </c>
      <c r="C1802" s="1">
        <v>40096</v>
      </c>
      <c r="D1802" t="s">
        <v>82</v>
      </c>
      <c r="E1802" t="s">
        <v>15</v>
      </c>
      <c r="F1802" t="s">
        <v>35</v>
      </c>
      <c r="G1802" t="s">
        <v>17</v>
      </c>
      <c r="H1802" t="s">
        <v>167</v>
      </c>
      <c r="J1802" t="s">
        <v>168</v>
      </c>
      <c r="K1802" s="2">
        <v>12.5</v>
      </c>
      <c r="L1802">
        <v>40</v>
      </c>
      <c r="M1802">
        <f t="shared" si="28"/>
        <v>500</v>
      </c>
    </row>
    <row r="1803" spans="1:13">
      <c r="A1803" t="s">
        <v>357</v>
      </c>
      <c r="B1803" t="s">
        <v>358</v>
      </c>
      <c r="C1803" s="1">
        <v>40096</v>
      </c>
      <c r="D1803" t="s">
        <v>59</v>
      </c>
      <c r="E1803" t="s">
        <v>15</v>
      </c>
      <c r="F1803" t="s">
        <v>45</v>
      </c>
      <c r="G1803" t="s">
        <v>17</v>
      </c>
      <c r="H1803" t="s">
        <v>167</v>
      </c>
      <c r="J1803" t="s">
        <v>168</v>
      </c>
      <c r="K1803" s="2">
        <v>14</v>
      </c>
      <c r="L1803">
        <v>12</v>
      </c>
      <c r="M1803">
        <f t="shared" si="28"/>
        <v>168</v>
      </c>
    </row>
    <row r="1804" spans="1:13">
      <c r="A1804" t="s">
        <v>357</v>
      </c>
      <c r="B1804" t="s">
        <v>358</v>
      </c>
      <c r="C1804" s="1">
        <v>40096</v>
      </c>
      <c r="D1804" t="s">
        <v>111</v>
      </c>
      <c r="E1804" t="s">
        <v>15</v>
      </c>
      <c r="F1804" t="s">
        <v>37</v>
      </c>
      <c r="G1804" t="s">
        <v>17</v>
      </c>
      <c r="H1804" t="s">
        <v>167</v>
      </c>
      <c r="J1804" t="s">
        <v>168</v>
      </c>
      <c r="K1804" s="2">
        <v>18</v>
      </c>
      <c r="L1804">
        <v>5</v>
      </c>
      <c r="M1804">
        <f t="shared" si="28"/>
        <v>90</v>
      </c>
    </row>
    <row r="1805" spans="1:13">
      <c r="A1805" t="s">
        <v>357</v>
      </c>
      <c r="B1805" t="s">
        <v>358</v>
      </c>
      <c r="C1805" s="1">
        <v>39555</v>
      </c>
      <c r="D1805" t="s">
        <v>36</v>
      </c>
      <c r="E1805" t="s">
        <v>50</v>
      </c>
      <c r="F1805" t="s">
        <v>37</v>
      </c>
      <c r="G1805" t="s">
        <v>39</v>
      </c>
      <c r="H1805" t="s">
        <v>167</v>
      </c>
      <c r="J1805" t="s">
        <v>168</v>
      </c>
      <c r="K1805" s="2">
        <v>19</v>
      </c>
      <c r="L1805">
        <v>100</v>
      </c>
      <c r="M1805">
        <f t="shared" si="28"/>
        <v>1900</v>
      </c>
    </row>
    <row r="1806" spans="1:13">
      <c r="A1806" t="s">
        <v>357</v>
      </c>
      <c r="B1806" t="s">
        <v>358</v>
      </c>
      <c r="C1806" s="1">
        <v>39555</v>
      </c>
      <c r="D1806" t="s">
        <v>149</v>
      </c>
      <c r="E1806" t="s">
        <v>50</v>
      </c>
      <c r="F1806" t="s">
        <v>27</v>
      </c>
      <c r="G1806" t="s">
        <v>39</v>
      </c>
      <c r="H1806" t="s">
        <v>167</v>
      </c>
      <c r="J1806" t="s">
        <v>168</v>
      </c>
      <c r="K1806" s="2">
        <v>21.35</v>
      </c>
      <c r="L1806">
        <v>70</v>
      </c>
      <c r="M1806">
        <f t="shared" si="28"/>
        <v>1494.5</v>
      </c>
    </row>
    <row r="1807" spans="1:13">
      <c r="A1807" t="s">
        <v>357</v>
      </c>
      <c r="B1807" t="s">
        <v>358</v>
      </c>
      <c r="C1807" s="1">
        <v>39555</v>
      </c>
      <c r="D1807" t="s">
        <v>88</v>
      </c>
      <c r="E1807" t="s">
        <v>50</v>
      </c>
      <c r="F1807" t="s">
        <v>51</v>
      </c>
      <c r="G1807" t="s">
        <v>39</v>
      </c>
      <c r="H1807" t="s">
        <v>167</v>
      </c>
      <c r="J1807" t="s">
        <v>168</v>
      </c>
      <c r="K1807" s="2">
        <v>123.79</v>
      </c>
      <c r="L1807">
        <v>60</v>
      </c>
      <c r="M1807">
        <f t="shared" si="28"/>
        <v>7427.4000000000005</v>
      </c>
    </row>
    <row r="1808" spans="1:13">
      <c r="A1808" t="s">
        <v>357</v>
      </c>
      <c r="B1808" t="s">
        <v>358</v>
      </c>
      <c r="C1808" s="1">
        <v>39555</v>
      </c>
      <c r="D1808" t="s">
        <v>52</v>
      </c>
      <c r="E1808" t="s">
        <v>50</v>
      </c>
      <c r="F1808" t="s">
        <v>54</v>
      </c>
      <c r="G1808" t="s">
        <v>39</v>
      </c>
      <c r="H1808" t="s">
        <v>167</v>
      </c>
      <c r="J1808" t="s">
        <v>168</v>
      </c>
      <c r="K1808" s="2">
        <v>55</v>
      </c>
      <c r="L1808">
        <v>100</v>
      </c>
      <c r="M1808">
        <f t="shared" si="28"/>
        <v>5500</v>
      </c>
    </row>
    <row r="1809" spans="1:13">
      <c r="A1809" t="s">
        <v>357</v>
      </c>
      <c r="B1809" t="s">
        <v>358</v>
      </c>
      <c r="C1809" s="1">
        <v>39534</v>
      </c>
      <c r="D1809" t="s">
        <v>123</v>
      </c>
      <c r="E1809" t="s">
        <v>53</v>
      </c>
      <c r="F1809" t="s">
        <v>63</v>
      </c>
      <c r="G1809" t="s">
        <v>39</v>
      </c>
      <c r="H1809" t="s">
        <v>167</v>
      </c>
      <c r="J1809" t="s">
        <v>168</v>
      </c>
      <c r="K1809" s="2">
        <v>19.5</v>
      </c>
      <c r="L1809">
        <v>15</v>
      </c>
      <c r="M1809">
        <f t="shared" si="28"/>
        <v>292.5</v>
      </c>
    </row>
    <row r="1810" spans="1:13">
      <c r="A1810" t="s">
        <v>357</v>
      </c>
      <c r="B1810" t="s">
        <v>358</v>
      </c>
      <c r="C1810" s="1">
        <v>39966</v>
      </c>
      <c r="D1810" t="s">
        <v>85</v>
      </c>
      <c r="E1810" t="s">
        <v>89</v>
      </c>
      <c r="F1810" t="s">
        <v>33</v>
      </c>
      <c r="G1810" t="s">
        <v>17</v>
      </c>
      <c r="H1810" t="s">
        <v>167</v>
      </c>
      <c r="J1810" t="s">
        <v>168</v>
      </c>
      <c r="K1810" s="2">
        <v>53</v>
      </c>
      <c r="L1810">
        <v>20</v>
      </c>
      <c r="M1810">
        <f t="shared" si="28"/>
        <v>1060</v>
      </c>
    </row>
    <row r="1811" spans="1:13">
      <c r="A1811" t="s">
        <v>357</v>
      </c>
      <c r="B1811" t="s">
        <v>358</v>
      </c>
      <c r="C1811" s="1">
        <v>40107</v>
      </c>
      <c r="D1811" t="s">
        <v>64</v>
      </c>
      <c r="E1811" t="s">
        <v>66</v>
      </c>
      <c r="F1811" t="s">
        <v>35</v>
      </c>
      <c r="G1811" t="s">
        <v>17</v>
      </c>
      <c r="H1811" t="s">
        <v>167</v>
      </c>
      <c r="J1811" t="s">
        <v>168</v>
      </c>
      <c r="K1811" s="2">
        <v>9.1999999999999993</v>
      </c>
      <c r="L1811">
        <v>12</v>
      </c>
      <c r="M1811">
        <f t="shared" si="28"/>
        <v>110.39999999999999</v>
      </c>
    </row>
    <row r="1812" spans="1:13">
      <c r="A1812" t="s">
        <v>357</v>
      </c>
      <c r="B1812" t="s">
        <v>358</v>
      </c>
      <c r="C1812" s="1">
        <v>39469</v>
      </c>
      <c r="D1812" t="s">
        <v>60</v>
      </c>
      <c r="E1812" t="s">
        <v>24</v>
      </c>
      <c r="F1812" t="s">
        <v>61</v>
      </c>
      <c r="G1812" t="s">
        <v>39</v>
      </c>
      <c r="H1812" t="s">
        <v>167</v>
      </c>
      <c r="J1812" t="s">
        <v>168</v>
      </c>
      <c r="K1812" s="2">
        <v>9.5</v>
      </c>
      <c r="L1812">
        <v>36</v>
      </c>
      <c r="M1812">
        <f t="shared" si="28"/>
        <v>342</v>
      </c>
    </row>
    <row r="1813" spans="1:13">
      <c r="A1813" t="s">
        <v>357</v>
      </c>
      <c r="B1813" t="s">
        <v>358</v>
      </c>
      <c r="C1813" s="1">
        <v>39469</v>
      </c>
      <c r="D1813" t="s">
        <v>135</v>
      </c>
      <c r="E1813" t="s">
        <v>24</v>
      </c>
      <c r="F1813" t="s">
        <v>58</v>
      </c>
      <c r="G1813" t="s">
        <v>39</v>
      </c>
      <c r="H1813" t="s">
        <v>167</v>
      </c>
      <c r="J1813" t="s">
        <v>168</v>
      </c>
      <c r="K1813" s="2">
        <v>26</v>
      </c>
      <c r="L1813">
        <v>60</v>
      </c>
      <c r="M1813">
        <f t="shared" si="28"/>
        <v>1560</v>
      </c>
    </row>
    <row r="1814" spans="1:13">
      <c r="A1814" t="s">
        <v>357</v>
      </c>
      <c r="B1814" t="s">
        <v>358</v>
      </c>
      <c r="C1814" s="1">
        <v>39469</v>
      </c>
      <c r="D1814" t="s">
        <v>64</v>
      </c>
      <c r="E1814" t="s">
        <v>24</v>
      </c>
      <c r="F1814" t="s">
        <v>35</v>
      </c>
      <c r="G1814" t="s">
        <v>39</v>
      </c>
      <c r="H1814" t="s">
        <v>167</v>
      </c>
      <c r="J1814" t="s">
        <v>168</v>
      </c>
      <c r="K1814" s="2">
        <v>9.1999999999999993</v>
      </c>
      <c r="L1814">
        <v>12</v>
      </c>
      <c r="M1814">
        <f t="shared" si="28"/>
        <v>110.39999999999999</v>
      </c>
    </row>
    <row r="1815" spans="1:13">
      <c r="A1815" t="s">
        <v>357</v>
      </c>
      <c r="B1815" t="s">
        <v>358</v>
      </c>
      <c r="C1815" s="1">
        <v>39469</v>
      </c>
      <c r="D1815" t="s">
        <v>111</v>
      </c>
      <c r="E1815" t="s">
        <v>24</v>
      </c>
      <c r="F1815" t="s">
        <v>37</v>
      </c>
      <c r="G1815" t="s">
        <v>39</v>
      </c>
      <c r="H1815" t="s">
        <v>167</v>
      </c>
      <c r="J1815" t="s">
        <v>168</v>
      </c>
      <c r="K1815" s="2">
        <v>18</v>
      </c>
      <c r="L1815">
        <v>80</v>
      </c>
      <c r="M1815">
        <f t="shared" si="28"/>
        <v>1440</v>
      </c>
    </row>
    <row r="1816" spans="1:13">
      <c r="A1816" t="s">
        <v>357</v>
      </c>
      <c r="B1816" t="s">
        <v>358</v>
      </c>
      <c r="C1816" s="1">
        <v>40016</v>
      </c>
      <c r="D1816" t="s">
        <v>87</v>
      </c>
      <c r="E1816" t="s">
        <v>66</v>
      </c>
      <c r="F1816" t="s">
        <v>25</v>
      </c>
      <c r="G1816" t="s">
        <v>17</v>
      </c>
      <c r="H1816" t="s">
        <v>167</v>
      </c>
      <c r="J1816" t="s">
        <v>168</v>
      </c>
      <c r="K1816" s="2">
        <v>30</v>
      </c>
      <c r="L1816">
        <v>45</v>
      </c>
      <c r="M1816">
        <f t="shared" si="28"/>
        <v>1350</v>
      </c>
    </row>
    <row r="1817" spans="1:13">
      <c r="A1817" t="s">
        <v>357</v>
      </c>
      <c r="B1817" t="s">
        <v>358</v>
      </c>
      <c r="C1817" s="1">
        <v>40016</v>
      </c>
      <c r="D1817" t="s">
        <v>48</v>
      </c>
      <c r="E1817" t="s">
        <v>66</v>
      </c>
      <c r="F1817" t="s">
        <v>22</v>
      </c>
      <c r="G1817" t="s">
        <v>17</v>
      </c>
      <c r="H1817" t="s">
        <v>167</v>
      </c>
      <c r="J1817" t="s">
        <v>168</v>
      </c>
      <c r="K1817" s="2">
        <v>39</v>
      </c>
      <c r="L1817">
        <v>100</v>
      </c>
      <c r="M1817">
        <f t="shared" si="28"/>
        <v>3900</v>
      </c>
    </row>
    <row r="1818" spans="1:13">
      <c r="A1818" t="s">
        <v>357</v>
      </c>
      <c r="B1818" t="s">
        <v>358</v>
      </c>
      <c r="C1818" s="1">
        <v>40016</v>
      </c>
      <c r="D1818" t="s">
        <v>40</v>
      </c>
      <c r="E1818" t="s">
        <v>66</v>
      </c>
      <c r="F1818" t="s">
        <v>41</v>
      </c>
      <c r="G1818" t="s">
        <v>17</v>
      </c>
      <c r="H1818" t="s">
        <v>167</v>
      </c>
      <c r="J1818" t="s">
        <v>168</v>
      </c>
      <c r="K1818" s="2">
        <v>2.5</v>
      </c>
      <c r="L1818">
        <v>14</v>
      </c>
      <c r="M1818">
        <f t="shared" si="28"/>
        <v>35</v>
      </c>
    </row>
    <row r="1819" spans="1:13">
      <c r="A1819" t="s">
        <v>357</v>
      </c>
      <c r="B1819" t="s">
        <v>358</v>
      </c>
      <c r="C1819" s="1">
        <v>40016</v>
      </c>
      <c r="D1819" t="s">
        <v>185</v>
      </c>
      <c r="E1819" t="s">
        <v>66</v>
      </c>
      <c r="F1819" t="s">
        <v>134</v>
      </c>
      <c r="G1819" t="s">
        <v>17</v>
      </c>
      <c r="H1819" t="s">
        <v>167</v>
      </c>
      <c r="J1819" t="s">
        <v>168</v>
      </c>
      <c r="K1819" s="2">
        <v>18.399999999999999</v>
      </c>
      <c r="L1819">
        <v>42</v>
      </c>
      <c r="M1819">
        <f t="shared" si="28"/>
        <v>772.8</v>
      </c>
    </row>
    <row r="1820" spans="1:13">
      <c r="A1820" t="s">
        <v>357</v>
      </c>
      <c r="B1820" t="s">
        <v>358</v>
      </c>
      <c r="C1820" s="1">
        <v>40016</v>
      </c>
      <c r="D1820" t="s">
        <v>75</v>
      </c>
      <c r="E1820" t="s">
        <v>66</v>
      </c>
      <c r="F1820" t="s">
        <v>76</v>
      </c>
      <c r="G1820" t="s">
        <v>17</v>
      </c>
      <c r="H1820" t="s">
        <v>167</v>
      </c>
      <c r="J1820" t="s">
        <v>168</v>
      </c>
      <c r="K1820" s="2">
        <v>34.799999999999997</v>
      </c>
      <c r="L1820">
        <v>12</v>
      </c>
      <c r="M1820">
        <f t="shared" si="28"/>
        <v>417.59999999999997</v>
      </c>
    </row>
    <row r="1821" spans="1:13">
      <c r="A1821" t="s">
        <v>357</v>
      </c>
      <c r="B1821" t="s">
        <v>358</v>
      </c>
      <c r="C1821" s="1">
        <v>40108</v>
      </c>
      <c r="D1821" t="s">
        <v>36</v>
      </c>
      <c r="E1821" t="s">
        <v>66</v>
      </c>
      <c r="F1821" t="s">
        <v>37</v>
      </c>
      <c r="G1821" t="s">
        <v>17</v>
      </c>
      <c r="H1821" t="s">
        <v>167</v>
      </c>
      <c r="J1821" t="s">
        <v>168</v>
      </c>
      <c r="K1821" s="2">
        <v>19</v>
      </c>
      <c r="L1821">
        <v>30</v>
      </c>
      <c r="M1821">
        <f t="shared" si="28"/>
        <v>570</v>
      </c>
    </row>
    <row r="1822" spans="1:13">
      <c r="A1822" t="s">
        <v>357</v>
      </c>
      <c r="B1822" t="s">
        <v>358</v>
      </c>
      <c r="C1822" s="1">
        <v>40108</v>
      </c>
      <c r="D1822" t="s">
        <v>48</v>
      </c>
      <c r="E1822" t="s">
        <v>66</v>
      </c>
      <c r="F1822" t="s">
        <v>22</v>
      </c>
      <c r="G1822" t="s">
        <v>17</v>
      </c>
      <c r="H1822" t="s">
        <v>167</v>
      </c>
      <c r="J1822" t="s">
        <v>168</v>
      </c>
      <c r="K1822" s="2">
        <v>39</v>
      </c>
      <c r="L1822">
        <v>27</v>
      </c>
      <c r="M1822">
        <f t="shared" si="28"/>
        <v>1053</v>
      </c>
    </row>
    <row r="1823" spans="1:13">
      <c r="A1823" t="s">
        <v>357</v>
      </c>
      <c r="B1823" t="s">
        <v>358</v>
      </c>
      <c r="C1823" s="1">
        <v>40108</v>
      </c>
      <c r="D1823" t="s">
        <v>170</v>
      </c>
      <c r="E1823" t="s">
        <v>66</v>
      </c>
      <c r="F1823" t="s">
        <v>101</v>
      </c>
      <c r="G1823" t="s">
        <v>17</v>
      </c>
      <c r="H1823" t="s">
        <v>167</v>
      </c>
      <c r="J1823" t="s">
        <v>168</v>
      </c>
      <c r="K1823" s="2">
        <v>9.5</v>
      </c>
      <c r="L1823">
        <v>50</v>
      </c>
      <c r="M1823">
        <f t="shared" si="28"/>
        <v>475</v>
      </c>
    </row>
    <row r="1824" spans="1:13">
      <c r="A1824" t="s">
        <v>357</v>
      </c>
      <c r="B1824" t="s">
        <v>358</v>
      </c>
      <c r="C1824" s="1">
        <v>39544</v>
      </c>
      <c r="D1824" t="s">
        <v>148</v>
      </c>
      <c r="E1824" t="s">
        <v>24</v>
      </c>
      <c r="F1824" t="s">
        <v>16</v>
      </c>
      <c r="G1824" t="s">
        <v>39</v>
      </c>
      <c r="H1824" t="s">
        <v>167</v>
      </c>
      <c r="J1824" t="s">
        <v>168</v>
      </c>
      <c r="K1824" s="2">
        <v>24</v>
      </c>
      <c r="L1824">
        <v>40</v>
      </c>
      <c r="M1824">
        <f t="shared" si="28"/>
        <v>960</v>
      </c>
    </row>
    <row r="1825" spans="1:13">
      <c r="A1825" t="s">
        <v>357</v>
      </c>
      <c r="B1825" t="s">
        <v>358</v>
      </c>
      <c r="C1825" s="1">
        <v>40108</v>
      </c>
      <c r="D1825" t="s">
        <v>68</v>
      </c>
      <c r="E1825" t="s">
        <v>66</v>
      </c>
      <c r="F1825" t="s">
        <v>69</v>
      </c>
      <c r="G1825" t="s">
        <v>17</v>
      </c>
      <c r="H1825" t="s">
        <v>167</v>
      </c>
      <c r="J1825" t="s">
        <v>168</v>
      </c>
      <c r="K1825" s="2">
        <v>13.25</v>
      </c>
      <c r="L1825">
        <v>12</v>
      </c>
      <c r="M1825">
        <f t="shared" si="28"/>
        <v>159</v>
      </c>
    </row>
    <row r="1826" spans="1:13">
      <c r="A1826" t="s">
        <v>357</v>
      </c>
      <c r="B1826" t="s">
        <v>358</v>
      </c>
      <c r="C1826" s="1">
        <v>39854</v>
      </c>
      <c r="D1826" t="s">
        <v>88</v>
      </c>
      <c r="E1826" t="s">
        <v>24</v>
      </c>
      <c r="F1826" t="s">
        <v>51</v>
      </c>
      <c r="G1826" t="s">
        <v>17</v>
      </c>
      <c r="H1826" t="s">
        <v>167</v>
      </c>
      <c r="J1826" t="s">
        <v>168</v>
      </c>
      <c r="K1826" s="2">
        <v>99</v>
      </c>
      <c r="L1826">
        <v>24</v>
      </c>
      <c r="M1826">
        <f t="shared" si="28"/>
        <v>2376</v>
      </c>
    </row>
    <row r="1827" spans="1:13">
      <c r="A1827" t="s">
        <v>357</v>
      </c>
      <c r="B1827" t="s">
        <v>358</v>
      </c>
      <c r="C1827" s="1">
        <v>40107</v>
      </c>
      <c r="D1827" t="s">
        <v>133</v>
      </c>
      <c r="E1827" t="s">
        <v>66</v>
      </c>
      <c r="F1827" t="s">
        <v>134</v>
      </c>
      <c r="G1827" t="s">
        <v>17</v>
      </c>
      <c r="H1827" t="s">
        <v>167</v>
      </c>
      <c r="J1827" t="s">
        <v>168</v>
      </c>
      <c r="K1827" s="2">
        <v>9.65</v>
      </c>
      <c r="L1827">
        <v>42</v>
      </c>
      <c r="M1827">
        <f t="shared" si="28"/>
        <v>405.3</v>
      </c>
    </row>
    <row r="1828" spans="1:13">
      <c r="A1828" t="s">
        <v>357</v>
      </c>
      <c r="B1828" t="s">
        <v>358</v>
      </c>
      <c r="C1828" s="1">
        <v>40107</v>
      </c>
      <c r="D1828" t="s">
        <v>32</v>
      </c>
      <c r="E1828" t="s">
        <v>66</v>
      </c>
      <c r="F1828" t="s">
        <v>33</v>
      </c>
      <c r="G1828" t="s">
        <v>17</v>
      </c>
      <c r="H1828" t="s">
        <v>167</v>
      </c>
      <c r="J1828" t="s">
        <v>168</v>
      </c>
      <c r="K1828" s="2">
        <v>32.799999999999997</v>
      </c>
      <c r="L1828">
        <v>120</v>
      </c>
      <c r="M1828">
        <f t="shared" si="28"/>
        <v>3935.9999999999995</v>
      </c>
    </row>
    <row r="1829" spans="1:13">
      <c r="A1829" t="s">
        <v>357</v>
      </c>
      <c r="B1829" t="s">
        <v>358</v>
      </c>
      <c r="C1829" s="1">
        <v>39488</v>
      </c>
      <c r="D1829" t="s">
        <v>14</v>
      </c>
      <c r="E1829" t="s">
        <v>24</v>
      </c>
      <c r="F1829" t="s">
        <v>16</v>
      </c>
      <c r="G1829" t="s">
        <v>39</v>
      </c>
      <c r="H1829" t="s">
        <v>167</v>
      </c>
      <c r="J1829" t="s">
        <v>168</v>
      </c>
      <c r="K1829" s="2">
        <v>7.45</v>
      </c>
      <c r="L1829">
        <v>32</v>
      </c>
      <c r="M1829">
        <f t="shared" si="28"/>
        <v>238.4</v>
      </c>
    </row>
    <row r="1830" spans="1:13">
      <c r="A1830" t="s">
        <v>357</v>
      </c>
      <c r="B1830" t="s">
        <v>358</v>
      </c>
      <c r="C1830" s="1">
        <v>39488</v>
      </c>
      <c r="D1830" t="s">
        <v>119</v>
      </c>
      <c r="E1830" t="s">
        <v>24</v>
      </c>
      <c r="F1830" t="s">
        <v>97</v>
      </c>
      <c r="G1830" t="s">
        <v>39</v>
      </c>
      <c r="H1830" t="s">
        <v>167</v>
      </c>
      <c r="J1830" t="s">
        <v>168</v>
      </c>
      <c r="K1830" s="2">
        <v>20</v>
      </c>
      <c r="L1830">
        <v>20</v>
      </c>
      <c r="M1830">
        <f t="shared" si="28"/>
        <v>400</v>
      </c>
    </row>
    <row r="1831" spans="1:13">
      <c r="A1831" t="s">
        <v>357</v>
      </c>
      <c r="B1831" t="s">
        <v>358</v>
      </c>
      <c r="C1831" s="1">
        <v>39488</v>
      </c>
      <c r="D1831" t="s">
        <v>110</v>
      </c>
      <c r="E1831" t="s">
        <v>24</v>
      </c>
      <c r="F1831" t="s">
        <v>74</v>
      </c>
      <c r="G1831" t="s">
        <v>39</v>
      </c>
      <c r="H1831" t="s">
        <v>167</v>
      </c>
      <c r="J1831" t="s">
        <v>168</v>
      </c>
      <c r="K1831" s="2">
        <v>14</v>
      </c>
      <c r="L1831">
        <v>25</v>
      </c>
      <c r="M1831">
        <f t="shared" si="28"/>
        <v>350</v>
      </c>
    </row>
    <row r="1832" spans="1:13">
      <c r="A1832" t="s">
        <v>357</v>
      </c>
      <c r="B1832" t="s">
        <v>358</v>
      </c>
      <c r="C1832" s="1">
        <v>39555</v>
      </c>
      <c r="D1832" t="s">
        <v>111</v>
      </c>
      <c r="E1832" t="s">
        <v>89</v>
      </c>
      <c r="F1832" t="s">
        <v>37</v>
      </c>
      <c r="G1832" t="s">
        <v>39</v>
      </c>
      <c r="H1832" t="s">
        <v>167</v>
      </c>
      <c r="J1832" t="s">
        <v>168</v>
      </c>
      <c r="K1832" s="2">
        <v>18</v>
      </c>
      <c r="L1832">
        <v>45</v>
      </c>
      <c r="M1832">
        <f t="shared" si="28"/>
        <v>810</v>
      </c>
    </row>
    <row r="1833" spans="1:13">
      <c r="A1833" t="s">
        <v>357</v>
      </c>
      <c r="B1833" t="s">
        <v>358</v>
      </c>
      <c r="C1833" s="1">
        <v>39555</v>
      </c>
      <c r="D1833" t="s">
        <v>124</v>
      </c>
      <c r="E1833" t="s">
        <v>89</v>
      </c>
      <c r="F1833" t="s">
        <v>125</v>
      </c>
      <c r="G1833" t="s">
        <v>39</v>
      </c>
      <c r="H1833" t="s">
        <v>167</v>
      </c>
      <c r="J1833" t="s">
        <v>168</v>
      </c>
      <c r="K1833" s="2">
        <v>6</v>
      </c>
      <c r="L1833">
        <v>80</v>
      </c>
      <c r="M1833">
        <f t="shared" si="28"/>
        <v>480</v>
      </c>
    </row>
    <row r="1834" spans="1:13">
      <c r="A1834" t="s">
        <v>357</v>
      </c>
      <c r="B1834" t="s">
        <v>358</v>
      </c>
      <c r="C1834" s="1">
        <v>39555</v>
      </c>
      <c r="D1834" t="s">
        <v>98</v>
      </c>
      <c r="E1834" t="s">
        <v>89</v>
      </c>
      <c r="F1834" t="s">
        <v>99</v>
      </c>
      <c r="G1834" t="s">
        <v>39</v>
      </c>
      <c r="H1834" t="s">
        <v>167</v>
      </c>
      <c r="J1834" t="s">
        <v>168</v>
      </c>
      <c r="K1834" s="2">
        <v>4.5</v>
      </c>
      <c r="L1834">
        <v>21</v>
      </c>
      <c r="M1834">
        <f t="shared" si="28"/>
        <v>94.5</v>
      </c>
    </row>
    <row r="1835" spans="1:13">
      <c r="A1835" t="s">
        <v>357</v>
      </c>
      <c r="B1835" t="s">
        <v>358</v>
      </c>
      <c r="C1835" s="1">
        <v>39555</v>
      </c>
      <c r="D1835" t="s">
        <v>147</v>
      </c>
      <c r="E1835" t="s">
        <v>89</v>
      </c>
      <c r="F1835" t="s">
        <v>51</v>
      </c>
      <c r="G1835" t="s">
        <v>39</v>
      </c>
      <c r="H1835" t="s">
        <v>167</v>
      </c>
      <c r="J1835" t="s">
        <v>168</v>
      </c>
      <c r="K1835" s="2">
        <v>33.25</v>
      </c>
      <c r="L1835">
        <v>20</v>
      </c>
      <c r="M1835">
        <f t="shared" si="28"/>
        <v>665</v>
      </c>
    </row>
    <row r="1836" spans="1:13">
      <c r="A1836" t="s">
        <v>357</v>
      </c>
      <c r="B1836" t="s">
        <v>358</v>
      </c>
      <c r="C1836" s="1">
        <v>39555</v>
      </c>
      <c r="D1836" t="s">
        <v>121</v>
      </c>
      <c r="E1836" t="s">
        <v>89</v>
      </c>
      <c r="F1836" t="s">
        <v>41</v>
      </c>
      <c r="G1836" t="s">
        <v>39</v>
      </c>
      <c r="H1836" t="s">
        <v>167</v>
      </c>
      <c r="J1836" t="s">
        <v>168</v>
      </c>
      <c r="K1836" s="2">
        <v>21.5</v>
      </c>
      <c r="L1836">
        <v>16</v>
      </c>
      <c r="M1836">
        <f t="shared" si="28"/>
        <v>344</v>
      </c>
    </row>
    <row r="1837" spans="1:13">
      <c r="A1837" t="s">
        <v>357</v>
      </c>
      <c r="B1837" t="s">
        <v>358</v>
      </c>
      <c r="C1837" s="1">
        <v>39469</v>
      </c>
      <c r="D1837" t="s">
        <v>121</v>
      </c>
      <c r="E1837" t="s">
        <v>24</v>
      </c>
      <c r="F1837" t="s">
        <v>41</v>
      </c>
      <c r="G1837" t="s">
        <v>39</v>
      </c>
      <c r="H1837" t="s">
        <v>167</v>
      </c>
      <c r="J1837" t="s">
        <v>168</v>
      </c>
      <c r="K1837" s="2">
        <v>21.5</v>
      </c>
      <c r="L1837">
        <v>55</v>
      </c>
      <c r="M1837">
        <f t="shared" si="28"/>
        <v>1182.5</v>
      </c>
    </row>
    <row r="1838" spans="1:13">
      <c r="A1838" t="s">
        <v>357</v>
      </c>
      <c r="B1838" t="s">
        <v>358</v>
      </c>
      <c r="C1838" s="1">
        <v>39544</v>
      </c>
      <c r="D1838" t="s">
        <v>124</v>
      </c>
      <c r="E1838" t="s">
        <v>24</v>
      </c>
      <c r="F1838" t="s">
        <v>125</v>
      </c>
      <c r="G1838" t="s">
        <v>39</v>
      </c>
      <c r="H1838" t="s">
        <v>167</v>
      </c>
      <c r="J1838" t="s">
        <v>168</v>
      </c>
      <c r="K1838" s="2">
        <v>6</v>
      </c>
      <c r="L1838">
        <v>56</v>
      </c>
      <c r="M1838">
        <f t="shared" si="28"/>
        <v>336</v>
      </c>
    </row>
    <row r="1839" spans="1:13">
      <c r="A1839" t="s">
        <v>357</v>
      </c>
      <c r="B1839" t="s">
        <v>358</v>
      </c>
      <c r="C1839" s="1">
        <v>40108</v>
      </c>
      <c r="D1839" t="s">
        <v>62</v>
      </c>
      <c r="E1839" t="s">
        <v>66</v>
      </c>
      <c r="F1839" t="s">
        <v>63</v>
      </c>
      <c r="G1839" t="s">
        <v>17</v>
      </c>
      <c r="H1839" t="s">
        <v>167</v>
      </c>
      <c r="J1839" t="s">
        <v>168</v>
      </c>
      <c r="K1839" s="2">
        <v>38</v>
      </c>
      <c r="L1839">
        <v>18</v>
      </c>
      <c r="M1839">
        <f t="shared" si="28"/>
        <v>684</v>
      </c>
    </row>
    <row r="1840" spans="1:13">
      <c r="A1840" t="s">
        <v>357</v>
      </c>
      <c r="B1840" t="s">
        <v>358</v>
      </c>
      <c r="C1840" s="1">
        <v>40079</v>
      </c>
      <c r="D1840" t="s">
        <v>133</v>
      </c>
      <c r="E1840" t="s">
        <v>50</v>
      </c>
      <c r="F1840" t="s">
        <v>134</v>
      </c>
      <c r="G1840" t="s">
        <v>17</v>
      </c>
      <c r="H1840" t="s">
        <v>167</v>
      </c>
      <c r="J1840" t="s">
        <v>168</v>
      </c>
      <c r="K1840" s="2">
        <v>9.65</v>
      </c>
      <c r="L1840">
        <v>120</v>
      </c>
      <c r="M1840">
        <f t="shared" si="28"/>
        <v>1158</v>
      </c>
    </row>
    <row r="1841" spans="1:13">
      <c r="A1841" t="s">
        <v>357</v>
      </c>
      <c r="B1841" t="s">
        <v>358</v>
      </c>
      <c r="C1841" s="1">
        <v>39517</v>
      </c>
      <c r="D1841" t="s">
        <v>38</v>
      </c>
      <c r="E1841" t="s">
        <v>50</v>
      </c>
      <c r="F1841" t="s">
        <v>29</v>
      </c>
      <c r="G1841" t="s">
        <v>39</v>
      </c>
      <c r="H1841" t="s">
        <v>167</v>
      </c>
      <c r="J1841" t="s">
        <v>168</v>
      </c>
      <c r="K1841" s="2">
        <v>49.3</v>
      </c>
      <c r="L1841">
        <v>30</v>
      </c>
      <c r="M1841">
        <f t="shared" si="28"/>
        <v>1479</v>
      </c>
    </row>
    <row r="1842" spans="1:13">
      <c r="A1842" t="s">
        <v>357</v>
      </c>
      <c r="B1842" t="s">
        <v>358</v>
      </c>
      <c r="C1842" s="1">
        <v>39517</v>
      </c>
      <c r="D1842" t="s">
        <v>75</v>
      </c>
      <c r="E1842" t="s">
        <v>50</v>
      </c>
      <c r="F1842" t="s">
        <v>76</v>
      </c>
      <c r="G1842" t="s">
        <v>39</v>
      </c>
      <c r="H1842" t="s">
        <v>167</v>
      </c>
      <c r="J1842" t="s">
        <v>168</v>
      </c>
      <c r="K1842" s="2">
        <v>34.799999999999997</v>
      </c>
      <c r="L1842">
        <v>50</v>
      </c>
      <c r="M1842">
        <f t="shared" si="28"/>
        <v>1739.9999999999998</v>
      </c>
    </row>
    <row r="1843" spans="1:13">
      <c r="A1843" t="s">
        <v>357</v>
      </c>
      <c r="B1843" t="s">
        <v>358</v>
      </c>
      <c r="C1843" s="1">
        <v>40060</v>
      </c>
      <c r="D1843" t="s">
        <v>180</v>
      </c>
      <c r="E1843" t="s">
        <v>53</v>
      </c>
      <c r="F1843" t="s">
        <v>125</v>
      </c>
      <c r="G1843" t="s">
        <v>17</v>
      </c>
      <c r="H1843" t="s">
        <v>167</v>
      </c>
      <c r="J1843" t="s">
        <v>168</v>
      </c>
      <c r="K1843" s="2">
        <v>15.5</v>
      </c>
      <c r="L1843">
        <v>50</v>
      </c>
      <c r="M1843">
        <f t="shared" si="28"/>
        <v>775</v>
      </c>
    </row>
    <row r="1844" spans="1:13">
      <c r="A1844" t="s">
        <v>357</v>
      </c>
      <c r="B1844" t="s">
        <v>358</v>
      </c>
      <c r="C1844" s="1">
        <v>40060</v>
      </c>
      <c r="D1844" t="s">
        <v>133</v>
      </c>
      <c r="E1844" t="s">
        <v>53</v>
      </c>
      <c r="F1844" t="s">
        <v>134</v>
      </c>
      <c r="G1844" t="s">
        <v>17</v>
      </c>
      <c r="H1844" t="s">
        <v>167</v>
      </c>
      <c r="J1844" t="s">
        <v>168</v>
      </c>
      <c r="K1844" s="2">
        <v>9.65</v>
      </c>
      <c r="L1844">
        <v>24</v>
      </c>
      <c r="M1844">
        <f t="shared" si="28"/>
        <v>231.60000000000002</v>
      </c>
    </row>
    <row r="1845" spans="1:13">
      <c r="A1845" t="s">
        <v>357</v>
      </c>
      <c r="B1845" t="s">
        <v>358</v>
      </c>
      <c r="C1845" s="1">
        <v>40060</v>
      </c>
      <c r="D1845" t="s">
        <v>70</v>
      </c>
      <c r="E1845" t="s">
        <v>53</v>
      </c>
      <c r="F1845" t="s">
        <v>61</v>
      </c>
      <c r="G1845" t="s">
        <v>17</v>
      </c>
      <c r="H1845" t="s">
        <v>167</v>
      </c>
      <c r="J1845" t="s">
        <v>168</v>
      </c>
      <c r="K1845" s="2">
        <v>12</v>
      </c>
      <c r="L1845">
        <v>45</v>
      </c>
      <c r="M1845">
        <f t="shared" si="28"/>
        <v>540</v>
      </c>
    </row>
    <row r="1846" spans="1:13">
      <c r="A1846" t="s">
        <v>357</v>
      </c>
      <c r="B1846" t="s">
        <v>358</v>
      </c>
      <c r="C1846" s="1">
        <v>40060</v>
      </c>
      <c r="D1846" t="s">
        <v>170</v>
      </c>
      <c r="E1846" t="s">
        <v>53</v>
      </c>
      <c r="F1846" t="s">
        <v>101</v>
      </c>
      <c r="G1846" t="s">
        <v>17</v>
      </c>
      <c r="H1846" t="s">
        <v>167</v>
      </c>
      <c r="J1846" t="s">
        <v>168</v>
      </c>
      <c r="K1846" s="2">
        <v>9.5</v>
      </c>
      <c r="L1846">
        <v>10</v>
      </c>
      <c r="M1846">
        <f t="shared" si="28"/>
        <v>95</v>
      </c>
    </row>
    <row r="1847" spans="1:13">
      <c r="A1847" t="s">
        <v>357</v>
      </c>
      <c r="B1847" t="s">
        <v>358</v>
      </c>
      <c r="C1847" s="1">
        <v>39517</v>
      </c>
      <c r="D1847" t="s">
        <v>137</v>
      </c>
      <c r="E1847" t="s">
        <v>50</v>
      </c>
      <c r="F1847" t="s">
        <v>76</v>
      </c>
      <c r="G1847" t="s">
        <v>39</v>
      </c>
      <c r="H1847" t="s">
        <v>167</v>
      </c>
      <c r="J1847" t="s">
        <v>168</v>
      </c>
      <c r="K1847" s="2">
        <v>12.5</v>
      </c>
      <c r="L1847">
        <v>44</v>
      </c>
      <c r="M1847">
        <f t="shared" si="28"/>
        <v>550</v>
      </c>
    </row>
    <row r="1848" spans="1:13">
      <c r="A1848" t="s">
        <v>357</v>
      </c>
      <c r="B1848" t="s">
        <v>358</v>
      </c>
      <c r="C1848" s="1">
        <v>40079</v>
      </c>
      <c r="D1848" t="s">
        <v>40</v>
      </c>
      <c r="E1848" t="s">
        <v>50</v>
      </c>
      <c r="F1848" t="s">
        <v>41</v>
      </c>
      <c r="G1848" t="s">
        <v>17</v>
      </c>
      <c r="H1848" t="s">
        <v>167</v>
      </c>
      <c r="J1848" t="s">
        <v>168</v>
      </c>
      <c r="K1848" s="2">
        <v>2.5</v>
      </c>
      <c r="L1848">
        <v>30</v>
      </c>
      <c r="M1848">
        <f t="shared" si="28"/>
        <v>75</v>
      </c>
    </row>
    <row r="1849" spans="1:13">
      <c r="A1849" t="s">
        <v>357</v>
      </c>
      <c r="B1849" t="s">
        <v>358</v>
      </c>
      <c r="C1849" s="1">
        <v>39517</v>
      </c>
      <c r="D1849" t="s">
        <v>82</v>
      </c>
      <c r="E1849" t="s">
        <v>50</v>
      </c>
      <c r="F1849" t="s">
        <v>35</v>
      </c>
      <c r="G1849" t="s">
        <v>39</v>
      </c>
      <c r="H1849" t="s">
        <v>167</v>
      </c>
      <c r="J1849" t="s">
        <v>168</v>
      </c>
      <c r="K1849" s="2">
        <v>12.5</v>
      </c>
      <c r="L1849">
        <v>80</v>
      </c>
      <c r="M1849">
        <f t="shared" si="28"/>
        <v>1000</v>
      </c>
    </row>
    <row r="1850" spans="1:13">
      <c r="A1850" t="s">
        <v>357</v>
      </c>
      <c r="B1850" t="s">
        <v>358</v>
      </c>
      <c r="C1850" s="1">
        <v>39721</v>
      </c>
      <c r="D1850" t="s">
        <v>148</v>
      </c>
      <c r="E1850" t="s">
        <v>53</v>
      </c>
      <c r="F1850" t="s">
        <v>16</v>
      </c>
      <c r="G1850" t="s">
        <v>17</v>
      </c>
      <c r="H1850" t="s">
        <v>167</v>
      </c>
      <c r="J1850" t="s">
        <v>168</v>
      </c>
      <c r="K1850" s="2">
        <v>19.2</v>
      </c>
      <c r="L1850">
        <v>120</v>
      </c>
      <c r="M1850">
        <f t="shared" si="28"/>
        <v>2304</v>
      </c>
    </row>
    <row r="1851" spans="1:13">
      <c r="A1851" t="s">
        <v>357</v>
      </c>
      <c r="B1851" t="s">
        <v>358</v>
      </c>
      <c r="C1851" s="1">
        <v>39721</v>
      </c>
      <c r="D1851" t="s">
        <v>44</v>
      </c>
      <c r="E1851" t="s">
        <v>53</v>
      </c>
      <c r="F1851" t="s">
        <v>45</v>
      </c>
      <c r="G1851" t="s">
        <v>17</v>
      </c>
      <c r="H1851" t="s">
        <v>167</v>
      </c>
      <c r="J1851" t="s">
        <v>168</v>
      </c>
      <c r="K1851" s="2">
        <v>14.4</v>
      </c>
      <c r="L1851">
        <v>30</v>
      </c>
      <c r="M1851">
        <f t="shared" si="28"/>
        <v>432</v>
      </c>
    </row>
    <row r="1852" spans="1:13">
      <c r="A1852" t="s">
        <v>357</v>
      </c>
      <c r="B1852" t="s">
        <v>358</v>
      </c>
      <c r="C1852" s="1">
        <v>40060</v>
      </c>
      <c r="D1852" t="s">
        <v>62</v>
      </c>
      <c r="E1852" t="s">
        <v>53</v>
      </c>
      <c r="F1852" t="s">
        <v>63</v>
      </c>
      <c r="G1852" t="s">
        <v>17</v>
      </c>
      <c r="H1852" t="s">
        <v>167</v>
      </c>
      <c r="J1852" t="s">
        <v>168</v>
      </c>
      <c r="K1852" s="2">
        <v>38</v>
      </c>
      <c r="L1852">
        <v>45</v>
      </c>
      <c r="M1852">
        <f t="shared" si="28"/>
        <v>1710</v>
      </c>
    </row>
    <row r="1853" spans="1:13">
      <c r="A1853" t="s">
        <v>357</v>
      </c>
      <c r="B1853" t="s">
        <v>358</v>
      </c>
      <c r="C1853" s="1">
        <v>40079</v>
      </c>
      <c r="D1853" t="s">
        <v>14</v>
      </c>
      <c r="E1853" t="s">
        <v>50</v>
      </c>
      <c r="F1853" t="s">
        <v>16</v>
      </c>
      <c r="G1853" t="s">
        <v>17</v>
      </c>
      <c r="H1853" t="s">
        <v>167</v>
      </c>
      <c r="J1853" t="s">
        <v>168</v>
      </c>
      <c r="K1853" s="2">
        <v>7.45</v>
      </c>
      <c r="L1853">
        <v>30</v>
      </c>
      <c r="M1853">
        <f t="shared" si="28"/>
        <v>223.5</v>
      </c>
    </row>
    <row r="1854" spans="1:13">
      <c r="A1854" t="s">
        <v>357</v>
      </c>
      <c r="B1854" t="s">
        <v>358</v>
      </c>
      <c r="C1854" s="1">
        <v>40060</v>
      </c>
      <c r="D1854" t="s">
        <v>86</v>
      </c>
      <c r="E1854" t="s">
        <v>53</v>
      </c>
      <c r="F1854" t="s">
        <v>54</v>
      </c>
      <c r="G1854" t="s">
        <v>17</v>
      </c>
      <c r="H1854" t="s">
        <v>167</v>
      </c>
      <c r="J1854" t="s">
        <v>168</v>
      </c>
      <c r="K1854" s="2">
        <v>34</v>
      </c>
      <c r="L1854">
        <v>30</v>
      </c>
      <c r="M1854">
        <f t="shared" si="28"/>
        <v>1020</v>
      </c>
    </row>
    <row r="1855" spans="1:13">
      <c r="A1855" t="s">
        <v>357</v>
      </c>
      <c r="B1855" t="s">
        <v>358</v>
      </c>
      <c r="C1855" s="1">
        <v>39966</v>
      </c>
      <c r="D1855" t="s">
        <v>64</v>
      </c>
      <c r="E1855" t="s">
        <v>89</v>
      </c>
      <c r="F1855" t="s">
        <v>35</v>
      </c>
      <c r="G1855" t="s">
        <v>17</v>
      </c>
      <c r="H1855" t="s">
        <v>167</v>
      </c>
      <c r="J1855" t="s">
        <v>168</v>
      </c>
      <c r="K1855" s="2">
        <v>9.1999999999999993</v>
      </c>
      <c r="L1855">
        <v>35</v>
      </c>
      <c r="M1855">
        <f t="shared" si="28"/>
        <v>322</v>
      </c>
    </row>
    <row r="1856" spans="1:13">
      <c r="A1856" t="s">
        <v>357</v>
      </c>
      <c r="B1856" t="s">
        <v>358</v>
      </c>
      <c r="C1856" s="1">
        <v>40079</v>
      </c>
      <c r="D1856" t="s">
        <v>154</v>
      </c>
      <c r="E1856" t="s">
        <v>50</v>
      </c>
      <c r="F1856" t="s">
        <v>132</v>
      </c>
      <c r="G1856" t="s">
        <v>17</v>
      </c>
      <c r="H1856" t="s">
        <v>167</v>
      </c>
      <c r="J1856" t="s">
        <v>168</v>
      </c>
      <c r="K1856" s="2">
        <v>38</v>
      </c>
      <c r="L1856">
        <v>100</v>
      </c>
      <c r="M1856">
        <f t="shared" si="28"/>
        <v>3800</v>
      </c>
    </row>
    <row r="1857" spans="1:13">
      <c r="A1857" t="s">
        <v>359</v>
      </c>
      <c r="B1857" t="s">
        <v>360</v>
      </c>
      <c r="C1857" s="1">
        <v>39558</v>
      </c>
      <c r="D1857" t="s">
        <v>124</v>
      </c>
      <c r="E1857" t="s">
        <v>67</v>
      </c>
      <c r="F1857" t="s">
        <v>125</v>
      </c>
      <c r="G1857" t="s">
        <v>39</v>
      </c>
      <c r="H1857" t="s">
        <v>141</v>
      </c>
      <c r="J1857" t="s">
        <v>361</v>
      </c>
      <c r="K1857" s="2">
        <v>6</v>
      </c>
      <c r="L1857">
        <v>7</v>
      </c>
      <c r="M1857">
        <f t="shared" si="28"/>
        <v>42</v>
      </c>
    </row>
    <row r="1858" spans="1:13">
      <c r="A1858" t="s">
        <v>359</v>
      </c>
      <c r="B1858" t="s">
        <v>360</v>
      </c>
      <c r="C1858" s="1">
        <v>39747</v>
      </c>
      <c r="D1858" t="s">
        <v>96</v>
      </c>
      <c r="E1858" t="s">
        <v>24</v>
      </c>
      <c r="F1858" t="s">
        <v>97</v>
      </c>
      <c r="G1858" t="s">
        <v>17</v>
      </c>
      <c r="H1858" t="s">
        <v>141</v>
      </c>
      <c r="J1858" t="s">
        <v>361</v>
      </c>
      <c r="K1858" s="2">
        <v>14.4</v>
      </c>
      <c r="L1858">
        <v>12</v>
      </c>
      <c r="M1858">
        <f t="shared" si="28"/>
        <v>172.8</v>
      </c>
    </row>
    <row r="1859" spans="1:13">
      <c r="A1859" t="s">
        <v>359</v>
      </c>
      <c r="B1859" t="s">
        <v>360</v>
      </c>
      <c r="C1859" s="1">
        <v>39747</v>
      </c>
      <c r="D1859" t="s">
        <v>71</v>
      </c>
      <c r="E1859" t="s">
        <v>24</v>
      </c>
      <c r="F1859" t="s">
        <v>51</v>
      </c>
      <c r="G1859" t="s">
        <v>17</v>
      </c>
      <c r="H1859" t="s">
        <v>141</v>
      </c>
      <c r="J1859" t="s">
        <v>361</v>
      </c>
      <c r="K1859" s="2">
        <v>6.2</v>
      </c>
      <c r="L1859">
        <v>12</v>
      </c>
      <c r="M1859">
        <f t="shared" ref="M1859:M1922" si="29">K1859*L1859</f>
        <v>74.400000000000006</v>
      </c>
    </row>
    <row r="1860" spans="1:13">
      <c r="A1860" t="s">
        <v>359</v>
      </c>
      <c r="B1860" t="s">
        <v>360</v>
      </c>
      <c r="C1860" s="1">
        <v>39714</v>
      </c>
      <c r="D1860" t="s">
        <v>124</v>
      </c>
      <c r="E1860" t="s">
        <v>15</v>
      </c>
      <c r="F1860" t="s">
        <v>125</v>
      </c>
      <c r="G1860" t="s">
        <v>17</v>
      </c>
      <c r="H1860" t="s">
        <v>141</v>
      </c>
      <c r="J1860" t="s">
        <v>361</v>
      </c>
      <c r="K1860" s="2">
        <v>4.8</v>
      </c>
      <c r="L1860">
        <v>18</v>
      </c>
      <c r="M1860">
        <f t="shared" si="29"/>
        <v>86.399999999999991</v>
      </c>
    </row>
    <row r="1861" spans="1:13">
      <c r="A1861" t="s">
        <v>359</v>
      </c>
      <c r="B1861" t="s">
        <v>360</v>
      </c>
      <c r="C1861" s="1">
        <v>39558</v>
      </c>
      <c r="D1861" t="s">
        <v>52</v>
      </c>
      <c r="E1861" t="s">
        <v>67</v>
      </c>
      <c r="F1861" t="s">
        <v>54</v>
      </c>
      <c r="G1861" t="s">
        <v>39</v>
      </c>
      <c r="H1861" t="s">
        <v>141</v>
      </c>
      <c r="J1861" t="s">
        <v>361</v>
      </c>
      <c r="K1861" s="2">
        <v>55</v>
      </c>
      <c r="L1861">
        <v>30</v>
      </c>
      <c r="M1861">
        <f t="shared" si="29"/>
        <v>1650</v>
      </c>
    </row>
    <row r="1862" spans="1:13">
      <c r="A1862" t="s">
        <v>359</v>
      </c>
      <c r="B1862" t="s">
        <v>360</v>
      </c>
      <c r="C1862" s="1">
        <v>40081</v>
      </c>
      <c r="D1862" t="s">
        <v>131</v>
      </c>
      <c r="E1862" t="s">
        <v>50</v>
      </c>
      <c r="F1862" t="s">
        <v>132</v>
      </c>
      <c r="G1862" t="s">
        <v>39</v>
      </c>
      <c r="H1862" t="s">
        <v>141</v>
      </c>
      <c r="J1862" t="s">
        <v>361</v>
      </c>
      <c r="K1862" s="2">
        <v>21</v>
      </c>
      <c r="L1862">
        <v>20</v>
      </c>
      <c r="M1862">
        <f t="shared" si="29"/>
        <v>420</v>
      </c>
    </row>
    <row r="1863" spans="1:13">
      <c r="A1863" t="s">
        <v>359</v>
      </c>
      <c r="B1863" t="s">
        <v>360</v>
      </c>
      <c r="C1863" s="1">
        <v>39572</v>
      </c>
      <c r="D1863" t="s">
        <v>133</v>
      </c>
      <c r="E1863" t="s">
        <v>21</v>
      </c>
      <c r="F1863" t="s">
        <v>134</v>
      </c>
      <c r="G1863" t="s">
        <v>39</v>
      </c>
      <c r="H1863" t="s">
        <v>141</v>
      </c>
      <c r="J1863" t="s">
        <v>361</v>
      </c>
      <c r="K1863" s="2">
        <v>9.65</v>
      </c>
      <c r="L1863">
        <v>9</v>
      </c>
      <c r="M1863">
        <f t="shared" si="29"/>
        <v>86.850000000000009</v>
      </c>
    </row>
    <row r="1864" spans="1:13">
      <c r="A1864" t="s">
        <v>359</v>
      </c>
      <c r="B1864" t="s">
        <v>360</v>
      </c>
      <c r="C1864" s="1">
        <v>39747</v>
      </c>
      <c r="D1864" t="s">
        <v>137</v>
      </c>
      <c r="E1864" t="s">
        <v>24</v>
      </c>
      <c r="F1864" t="s">
        <v>76</v>
      </c>
      <c r="G1864" t="s">
        <v>17</v>
      </c>
      <c r="H1864" t="s">
        <v>141</v>
      </c>
      <c r="J1864" t="s">
        <v>361</v>
      </c>
      <c r="K1864" s="2">
        <v>10</v>
      </c>
      <c r="L1864">
        <v>20</v>
      </c>
      <c r="M1864">
        <f t="shared" si="29"/>
        <v>200</v>
      </c>
    </row>
    <row r="1865" spans="1:13">
      <c r="A1865" t="s">
        <v>359</v>
      </c>
      <c r="B1865" t="s">
        <v>360</v>
      </c>
      <c r="C1865" s="1">
        <v>39456</v>
      </c>
      <c r="D1865" t="s">
        <v>30</v>
      </c>
      <c r="E1865" t="s">
        <v>21</v>
      </c>
      <c r="F1865" t="s">
        <v>31</v>
      </c>
      <c r="G1865" t="s">
        <v>39</v>
      </c>
      <c r="H1865" t="s">
        <v>141</v>
      </c>
      <c r="J1865" t="s">
        <v>361</v>
      </c>
      <c r="K1865" s="2">
        <v>31.23</v>
      </c>
      <c r="L1865">
        <v>12</v>
      </c>
      <c r="M1865">
        <f t="shared" si="29"/>
        <v>374.76</v>
      </c>
    </row>
    <row r="1866" spans="1:13">
      <c r="A1866" t="s">
        <v>359</v>
      </c>
      <c r="B1866" t="s">
        <v>360</v>
      </c>
      <c r="C1866" s="1">
        <v>39456</v>
      </c>
      <c r="D1866" t="s">
        <v>32</v>
      </c>
      <c r="E1866" t="s">
        <v>21</v>
      </c>
      <c r="F1866" t="s">
        <v>33</v>
      </c>
      <c r="G1866" t="s">
        <v>39</v>
      </c>
      <c r="H1866" t="s">
        <v>141</v>
      </c>
      <c r="J1866" t="s">
        <v>361</v>
      </c>
      <c r="K1866" s="2">
        <v>32.799999999999997</v>
      </c>
      <c r="L1866">
        <v>20</v>
      </c>
      <c r="M1866">
        <f t="shared" si="29"/>
        <v>656</v>
      </c>
    </row>
    <row r="1867" spans="1:13">
      <c r="A1867" t="s">
        <v>362</v>
      </c>
      <c r="B1867" t="s">
        <v>363</v>
      </c>
      <c r="C1867" s="1">
        <v>39735</v>
      </c>
      <c r="D1867" t="s">
        <v>111</v>
      </c>
      <c r="E1867" t="s">
        <v>67</v>
      </c>
      <c r="F1867" t="s">
        <v>37</v>
      </c>
      <c r="G1867" t="s">
        <v>17</v>
      </c>
      <c r="H1867" t="s">
        <v>303</v>
      </c>
      <c r="J1867" t="s">
        <v>364</v>
      </c>
      <c r="K1867" s="2">
        <v>14.4</v>
      </c>
      <c r="L1867">
        <v>12</v>
      </c>
      <c r="M1867">
        <f t="shared" si="29"/>
        <v>172.8</v>
      </c>
    </row>
    <row r="1868" spans="1:13">
      <c r="A1868" t="s">
        <v>362</v>
      </c>
      <c r="B1868" t="s">
        <v>363</v>
      </c>
      <c r="C1868" s="1">
        <v>39885</v>
      </c>
      <c r="D1868" t="s">
        <v>71</v>
      </c>
      <c r="E1868" t="s">
        <v>66</v>
      </c>
      <c r="F1868" t="s">
        <v>51</v>
      </c>
      <c r="G1868" t="s">
        <v>17</v>
      </c>
      <c r="H1868" t="s">
        <v>303</v>
      </c>
      <c r="J1868" t="s">
        <v>364</v>
      </c>
      <c r="K1868" s="2">
        <v>6.2</v>
      </c>
      <c r="L1868">
        <v>10</v>
      </c>
      <c r="M1868">
        <f t="shared" si="29"/>
        <v>62</v>
      </c>
    </row>
    <row r="1869" spans="1:13">
      <c r="A1869" t="s">
        <v>362</v>
      </c>
      <c r="B1869" t="s">
        <v>363</v>
      </c>
      <c r="C1869" s="1">
        <v>39573</v>
      </c>
      <c r="D1869" t="s">
        <v>98</v>
      </c>
      <c r="E1869" t="s">
        <v>53</v>
      </c>
      <c r="F1869" t="s">
        <v>99</v>
      </c>
      <c r="G1869" t="s">
        <v>39</v>
      </c>
      <c r="H1869" t="s">
        <v>303</v>
      </c>
      <c r="J1869" t="s">
        <v>364</v>
      </c>
      <c r="K1869" s="2">
        <v>4.5</v>
      </c>
      <c r="L1869">
        <v>20</v>
      </c>
      <c r="M1869">
        <f t="shared" si="29"/>
        <v>90</v>
      </c>
    </row>
    <row r="1870" spans="1:13">
      <c r="A1870" t="s">
        <v>362</v>
      </c>
      <c r="B1870" t="s">
        <v>363</v>
      </c>
      <c r="C1870" s="1">
        <v>39913</v>
      </c>
      <c r="D1870" t="s">
        <v>60</v>
      </c>
      <c r="E1870" t="s">
        <v>53</v>
      </c>
      <c r="F1870" t="s">
        <v>61</v>
      </c>
      <c r="G1870" t="s">
        <v>17</v>
      </c>
      <c r="H1870" t="s">
        <v>303</v>
      </c>
      <c r="J1870" t="s">
        <v>364</v>
      </c>
      <c r="K1870" s="2">
        <v>9.5</v>
      </c>
      <c r="L1870">
        <v>21</v>
      </c>
      <c r="M1870">
        <f t="shared" si="29"/>
        <v>199.5</v>
      </c>
    </row>
    <row r="1871" spans="1:13">
      <c r="A1871" t="s">
        <v>362</v>
      </c>
      <c r="B1871" t="s">
        <v>363</v>
      </c>
      <c r="C1871" s="1">
        <v>39540</v>
      </c>
      <c r="D1871" t="s">
        <v>85</v>
      </c>
      <c r="E1871" t="s">
        <v>21</v>
      </c>
      <c r="F1871" t="s">
        <v>33</v>
      </c>
      <c r="G1871" t="s">
        <v>39</v>
      </c>
      <c r="H1871" t="s">
        <v>303</v>
      </c>
      <c r="J1871" t="s">
        <v>364</v>
      </c>
      <c r="K1871" s="2">
        <v>53</v>
      </c>
      <c r="L1871">
        <v>20</v>
      </c>
      <c r="M1871">
        <f t="shared" si="29"/>
        <v>1060</v>
      </c>
    </row>
    <row r="1872" spans="1:13">
      <c r="A1872" t="s">
        <v>362</v>
      </c>
      <c r="B1872" t="s">
        <v>363</v>
      </c>
      <c r="C1872" s="1">
        <v>39885</v>
      </c>
      <c r="D1872" t="s">
        <v>153</v>
      </c>
      <c r="E1872" t="s">
        <v>66</v>
      </c>
      <c r="F1872" t="s">
        <v>125</v>
      </c>
      <c r="G1872" t="s">
        <v>17</v>
      </c>
      <c r="H1872" t="s">
        <v>303</v>
      </c>
      <c r="J1872" t="s">
        <v>364</v>
      </c>
      <c r="K1872" s="2">
        <v>18.600000000000001</v>
      </c>
      <c r="L1872">
        <v>12</v>
      </c>
      <c r="M1872">
        <f t="shared" si="29"/>
        <v>223.20000000000002</v>
      </c>
    </row>
    <row r="1873" spans="1:13">
      <c r="A1873" t="s">
        <v>362</v>
      </c>
      <c r="B1873" t="s">
        <v>363</v>
      </c>
      <c r="C1873" s="1">
        <v>39913</v>
      </c>
      <c r="D1873" t="s">
        <v>32</v>
      </c>
      <c r="E1873" t="s">
        <v>53</v>
      </c>
      <c r="F1873" t="s">
        <v>33</v>
      </c>
      <c r="G1873" t="s">
        <v>17</v>
      </c>
      <c r="H1873" t="s">
        <v>303</v>
      </c>
      <c r="J1873" t="s">
        <v>364</v>
      </c>
      <c r="K1873" s="2">
        <v>32.799999999999997</v>
      </c>
      <c r="L1873">
        <v>6</v>
      </c>
      <c r="M1873">
        <f t="shared" si="29"/>
        <v>196.79999999999998</v>
      </c>
    </row>
    <row r="1874" spans="1:13">
      <c r="A1874" t="s">
        <v>362</v>
      </c>
      <c r="B1874" t="s">
        <v>363</v>
      </c>
      <c r="C1874" s="1">
        <v>39885</v>
      </c>
      <c r="D1874" t="s">
        <v>185</v>
      </c>
      <c r="E1874" t="s">
        <v>66</v>
      </c>
      <c r="F1874" t="s">
        <v>134</v>
      </c>
      <c r="G1874" t="s">
        <v>17</v>
      </c>
      <c r="H1874" t="s">
        <v>303</v>
      </c>
      <c r="J1874" t="s">
        <v>364</v>
      </c>
      <c r="K1874" s="2">
        <v>14.7</v>
      </c>
      <c r="L1874">
        <v>21</v>
      </c>
      <c r="M1874">
        <f t="shared" si="29"/>
        <v>308.7</v>
      </c>
    </row>
    <row r="1875" spans="1:13">
      <c r="A1875" t="s">
        <v>362</v>
      </c>
      <c r="B1875" t="s">
        <v>363</v>
      </c>
      <c r="C1875" s="1">
        <v>39573</v>
      </c>
      <c r="D1875" t="s">
        <v>131</v>
      </c>
      <c r="E1875" t="s">
        <v>53</v>
      </c>
      <c r="F1875" t="s">
        <v>132</v>
      </c>
      <c r="G1875" t="s">
        <v>39</v>
      </c>
      <c r="H1875" t="s">
        <v>303</v>
      </c>
      <c r="J1875" t="s">
        <v>364</v>
      </c>
      <c r="K1875" s="2">
        <v>21</v>
      </c>
      <c r="L1875">
        <v>10</v>
      </c>
      <c r="M1875">
        <f t="shared" si="29"/>
        <v>210</v>
      </c>
    </row>
    <row r="1876" spans="1:13">
      <c r="A1876" t="s">
        <v>362</v>
      </c>
      <c r="B1876" t="s">
        <v>363</v>
      </c>
      <c r="C1876" s="1">
        <v>39885</v>
      </c>
      <c r="D1876" t="s">
        <v>77</v>
      </c>
      <c r="E1876" t="s">
        <v>66</v>
      </c>
      <c r="F1876" t="s">
        <v>51</v>
      </c>
      <c r="G1876" t="s">
        <v>17</v>
      </c>
      <c r="H1876" t="s">
        <v>303</v>
      </c>
      <c r="J1876" t="s">
        <v>364</v>
      </c>
      <c r="K1876" s="2">
        <v>36.4</v>
      </c>
      <c r="L1876">
        <v>18</v>
      </c>
      <c r="M1876">
        <f t="shared" si="29"/>
        <v>655.19999999999993</v>
      </c>
    </row>
    <row r="1877" spans="1:13">
      <c r="A1877" t="s">
        <v>362</v>
      </c>
      <c r="B1877" t="s">
        <v>363</v>
      </c>
      <c r="C1877" s="1">
        <v>39735</v>
      </c>
      <c r="D1877" t="s">
        <v>88</v>
      </c>
      <c r="E1877" t="s">
        <v>67</v>
      </c>
      <c r="F1877" t="s">
        <v>51</v>
      </c>
      <c r="G1877" t="s">
        <v>17</v>
      </c>
      <c r="H1877" t="s">
        <v>303</v>
      </c>
      <c r="J1877" t="s">
        <v>364</v>
      </c>
      <c r="K1877" s="2">
        <v>99</v>
      </c>
      <c r="L1877">
        <v>4</v>
      </c>
      <c r="M1877">
        <f t="shared" si="29"/>
        <v>396</v>
      </c>
    </row>
    <row r="1878" spans="1:13">
      <c r="A1878" t="s">
        <v>362</v>
      </c>
      <c r="B1878" t="s">
        <v>363</v>
      </c>
      <c r="C1878" s="1">
        <v>39725</v>
      </c>
      <c r="D1878" t="s">
        <v>120</v>
      </c>
      <c r="E1878" t="s">
        <v>50</v>
      </c>
      <c r="F1878" t="s">
        <v>33</v>
      </c>
      <c r="G1878" t="s">
        <v>17</v>
      </c>
      <c r="H1878" t="s">
        <v>303</v>
      </c>
      <c r="J1878" t="s">
        <v>364</v>
      </c>
      <c r="K1878" s="2">
        <v>5.6</v>
      </c>
      <c r="L1878">
        <v>20</v>
      </c>
      <c r="M1878">
        <f t="shared" si="29"/>
        <v>112</v>
      </c>
    </row>
    <row r="1879" spans="1:13">
      <c r="A1879" t="s">
        <v>362</v>
      </c>
      <c r="B1879" t="s">
        <v>363</v>
      </c>
      <c r="C1879" s="1">
        <v>39913</v>
      </c>
      <c r="D1879" t="s">
        <v>171</v>
      </c>
      <c r="E1879" t="s">
        <v>53</v>
      </c>
      <c r="F1879" t="s">
        <v>45</v>
      </c>
      <c r="G1879" t="s">
        <v>17</v>
      </c>
      <c r="H1879" t="s">
        <v>303</v>
      </c>
      <c r="J1879" t="s">
        <v>364</v>
      </c>
      <c r="K1879" s="2">
        <v>14</v>
      </c>
      <c r="L1879">
        <v>30</v>
      </c>
      <c r="M1879">
        <f t="shared" si="29"/>
        <v>420</v>
      </c>
    </row>
    <row r="1880" spans="1:13">
      <c r="A1880" t="s">
        <v>362</v>
      </c>
      <c r="B1880" t="s">
        <v>363</v>
      </c>
      <c r="C1880" s="1">
        <v>39540</v>
      </c>
      <c r="D1880" t="s">
        <v>86</v>
      </c>
      <c r="E1880" t="s">
        <v>21</v>
      </c>
      <c r="F1880" t="s">
        <v>54</v>
      </c>
      <c r="G1880" t="s">
        <v>39</v>
      </c>
      <c r="H1880" t="s">
        <v>303</v>
      </c>
      <c r="J1880" t="s">
        <v>364</v>
      </c>
      <c r="K1880" s="2">
        <v>34</v>
      </c>
      <c r="L1880">
        <v>4</v>
      </c>
      <c r="M1880">
        <f t="shared" si="29"/>
        <v>136</v>
      </c>
    </row>
    <row r="1881" spans="1:13">
      <c r="A1881" t="s">
        <v>365</v>
      </c>
      <c r="B1881" t="s">
        <v>366</v>
      </c>
      <c r="C1881" s="1">
        <v>40095</v>
      </c>
      <c r="D1881" t="s">
        <v>170</v>
      </c>
      <c r="E1881" t="s">
        <v>15</v>
      </c>
      <c r="F1881" t="s">
        <v>101</v>
      </c>
      <c r="G1881" t="s">
        <v>17</v>
      </c>
      <c r="H1881" t="s">
        <v>167</v>
      </c>
      <c r="J1881" t="s">
        <v>168</v>
      </c>
      <c r="K1881" s="2">
        <v>9.5</v>
      </c>
      <c r="L1881">
        <v>12</v>
      </c>
      <c r="M1881">
        <f t="shared" si="29"/>
        <v>114</v>
      </c>
    </row>
    <row r="1882" spans="1:13">
      <c r="A1882" t="s">
        <v>365</v>
      </c>
      <c r="B1882" t="s">
        <v>366</v>
      </c>
      <c r="C1882" s="1">
        <v>39984</v>
      </c>
      <c r="D1882" t="s">
        <v>96</v>
      </c>
      <c r="E1882" t="s">
        <v>66</v>
      </c>
      <c r="F1882" t="s">
        <v>97</v>
      </c>
      <c r="G1882" t="s">
        <v>17</v>
      </c>
      <c r="H1882" t="s">
        <v>167</v>
      </c>
      <c r="J1882" t="s">
        <v>168</v>
      </c>
      <c r="K1882" s="2">
        <v>18</v>
      </c>
      <c r="L1882">
        <v>10</v>
      </c>
      <c r="M1882">
        <f t="shared" si="29"/>
        <v>180</v>
      </c>
    </row>
    <row r="1883" spans="1:13">
      <c r="A1883" t="s">
        <v>365</v>
      </c>
      <c r="B1883" t="s">
        <v>366</v>
      </c>
      <c r="C1883" s="1">
        <v>40072</v>
      </c>
      <c r="D1883" t="s">
        <v>38</v>
      </c>
      <c r="E1883" t="s">
        <v>15</v>
      </c>
      <c r="F1883" t="s">
        <v>29</v>
      </c>
      <c r="G1883" t="s">
        <v>39</v>
      </c>
      <c r="H1883" t="s">
        <v>167</v>
      </c>
      <c r="J1883" t="s">
        <v>168</v>
      </c>
      <c r="K1883" s="2">
        <v>49.3</v>
      </c>
      <c r="L1883">
        <v>20</v>
      </c>
      <c r="M1883">
        <f t="shared" si="29"/>
        <v>986</v>
      </c>
    </row>
    <row r="1884" spans="1:13">
      <c r="A1884" t="s">
        <v>365</v>
      </c>
      <c r="B1884" t="s">
        <v>366</v>
      </c>
      <c r="C1884" s="1">
        <v>39669</v>
      </c>
      <c r="D1884" t="s">
        <v>77</v>
      </c>
      <c r="E1884" t="s">
        <v>53</v>
      </c>
      <c r="F1884" t="s">
        <v>51</v>
      </c>
      <c r="G1884" t="s">
        <v>17</v>
      </c>
      <c r="H1884" t="s">
        <v>167</v>
      </c>
      <c r="J1884" t="s">
        <v>168</v>
      </c>
      <c r="K1884" s="2">
        <v>36.4</v>
      </c>
      <c r="L1884">
        <v>20</v>
      </c>
      <c r="M1884">
        <f t="shared" si="29"/>
        <v>728</v>
      </c>
    </row>
    <row r="1885" spans="1:13">
      <c r="A1885" t="s">
        <v>365</v>
      </c>
      <c r="B1885" t="s">
        <v>366</v>
      </c>
      <c r="C1885" s="1">
        <v>39669</v>
      </c>
      <c r="D1885" t="s">
        <v>38</v>
      </c>
      <c r="E1885" t="s">
        <v>53</v>
      </c>
      <c r="F1885" t="s">
        <v>29</v>
      </c>
      <c r="G1885" t="s">
        <v>17</v>
      </c>
      <c r="H1885" t="s">
        <v>167</v>
      </c>
      <c r="J1885" t="s">
        <v>168</v>
      </c>
      <c r="K1885" s="2">
        <v>39.4</v>
      </c>
      <c r="L1885">
        <v>12</v>
      </c>
      <c r="M1885">
        <f t="shared" si="29"/>
        <v>472.79999999999995</v>
      </c>
    </row>
    <row r="1886" spans="1:13">
      <c r="A1886" t="s">
        <v>365</v>
      </c>
      <c r="B1886" t="s">
        <v>366</v>
      </c>
      <c r="C1886" s="1">
        <v>39984</v>
      </c>
      <c r="D1886" t="s">
        <v>75</v>
      </c>
      <c r="E1886" t="s">
        <v>66</v>
      </c>
      <c r="F1886" t="s">
        <v>76</v>
      </c>
      <c r="G1886" t="s">
        <v>17</v>
      </c>
      <c r="H1886" t="s">
        <v>167</v>
      </c>
      <c r="J1886" t="s">
        <v>168</v>
      </c>
      <c r="K1886" s="2">
        <v>34.799999999999997</v>
      </c>
      <c r="L1886">
        <v>30</v>
      </c>
      <c r="M1886">
        <f t="shared" si="29"/>
        <v>1044</v>
      </c>
    </row>
    <row r="1887" spans="1:13">
      <c r="A1887" t="s">
        <v>365</v>
      </c>
      <c r="B1887" t="s">
        <v>366</v>
      </c>
      <c r="C1887" s="1">
        <v>39984</v>
      </c>
      <c r="D1887" t="s">
        <v>72</v>
      </c>
      <c r="E1887" t="s">
        <v>66</v>
      </c>
      <c r="F1887" t="s">
        <v>22</v>
      </c>
      <c r="G1887" t="s">
        <v>17</v>
      </c>
      <c r="H1887" t="s">
        <v>167</v>
      </c>
      <c r="J1887" t="s">
        <v>168</v>
      </c>
      <c r="K1887" s="2">
        <v>43.9</v>
      </c>
      <c r="L1887">
        <v>6</v>
      </c>
      <c r="M1887">
        <f t="shared" si="29"/>
        <v>263.39999999999998</v>
      </c>
    </row>
    <row r="1888" spans="1:13">
      <c r="A1888" t="s">
        <v>365</v>
      </c>
      <c r="B1888" t="s">
        <v>366</v>
      </c>
      <c r="C1888" s="1">
        <v>39516</v>
      </c>
      <c r="D1888" t="s">
        <v>124</v>
      </c>
      <c r="E1888" t="s">
        <v>24</v>
      </c>
      <c r="F1888" t="s">
        <v>125</v>
      </c>
      <c r="G1888" t="s">
        <v>39</v>
      </c>
      <c r="H1888" t="s">
        <v>167</v>
      </c>
      <c r="J1888" t="s">
        <v>168</v>
      </c>
      <c r="K1888" s="2">
        <v>6</v>
      </c>
      <c r="L1888">
        <v>20</v>
      </c>
      <c r="M1888">
        <f t="shared" si="29"/>
        <v>120</v>
      </c>
    </row>
    <row r="1889" spans="1:13">
      <c r="A1889" t="s">
        <v>365</v>
      </c>
      <c r="B1889" t="s">
        <v>366</v>
      </c>
      <c r="C1889" s="1">
        <v>39516</v>
      </c>
      <c r="D1889" t="s">
        <v>137</v>
      </c>
      <c r="E1889" t="s">
        <v>24</v>
      </c>
      <c r="F1889" t="s">
        <v>76</v>
      </c>
      <c r="G1889" t="s">
        <v>39</v>
      </c>
      <c r="H1889" t="s">
        <v>167</v>
      </c>
      <c r="J1889" t="s">
        <v>168</v>
      </c>
      <c r="K1889" s="2">
        <v>12.5</v>
      </c>
      <c r="L1889">
        <v>10</v>
      </c>
      <c r="M1889">
        <f t="shared" si="29"/>
        <v>125</v>
      </c>
    </row>
    <row r="1890" spans="1:13">
      <c r="A1890" t="s">
        <v>365</v>
      </c>
      <c r="B1890" t="s">
        <v>366</v>
      </c>
      <c r="C1890" s="1">
        <v>39984</v>
      </c>
      <c r="D1890" t="s">
        <v>52</v>
      </c>
      <c r="E1890" t="s">
        <v>66</v>
      </c>
      <c r="F1890" t="s">
        <v>54</v>
      </c>
      <c r="G1890" t="s">
        <v>17</v>
      </c>
      <c r="H1890" t="s">
        <v>167</v>
      </c>
      <c r="J1890" t="s">
        <v>168</v>
      </c>
      <c r="K1890" s="2">
        <v>55</v>
      </c>
      <c r="L1890">
        <v>12</v>
      </c>
      <c r="M1890">
        <f t="shared" si="29"/>
        <v>660</v>
      </c>
    </row>
    <row r="1891" spans="1:13">
      <c r="A1891" t="s">
        <v>365</v>
      </c>
      <c r="B1891" t="s">
        <v>366</v>
      </c>
      <c r="C1891" s="1">
        <v>40072</v>
      </c>
      <c r="D1891" t="s">
        <v>20</v>
      </c>
      <c r="E1891" t="s">
        <v>15</v>
      </c>
      <c r="F1891" t="s">
        <v>22</v>
      </c>
      <c r="G1891" t="s">
        <v>39</v>
      </c>
      <c r="H1891" t="s">
        <v>167</v>
      </c>
      <c r="J1891" t="s">
        <v>168</v>
      </c>
      <c r="K1891" s="2">
        <v>17.45</v>
      </c>
      <c r="L1891">
        <v>20</v>
      </c>
      <c r="M1891">
        <f t="shared" si="29"/>
        <v>349</v>
      </c>
    </row>
    <row r="1892" spans="1:13">
      <c r="A1892" t="s">
        <v>367</v>
      </c>
      <c r="B1892" t="s">
        <v>368</v>
      </c>
      <c r="C1892" s="1">
        <v>39544</v>
      </c>
      <c r="D1892" t="s">
        <v>111</v>
      </c>
      <c r="E1892" t="s">
        <v>15</v>
      </c>
      <c r="F1892" t="s">
        <v>37</v>
      </c>
      <c r="G1892" t="s">
        <v>39</v>
      </c>
      <c r="H1892" t="s">
        <v>141</v>
      </c>
      <c r="J1892" t="s">
        <v>369</v>
      </c>
      <c r="K1892" s="2">
        <v>18</v>
      </c>
      <c r="L1892">
        <v>4</v>
      </c>
      <c r="M1892">
        <f t="shared" si="29"/>
        <v>72</v>
      </c>
    </row>
    <row r="1893" spans="1:13">
      <c r="A1893" t="s">
        <v>367</v>
      </c>
      <c r="B1893" t="s">
        <v>368</v>
      </c>
      <c r="C1893" s="1">
        <v>39544</v>
      </c>
      <c r="D1893" t="s">
        <v>185</v>
      </c>
      <c r="E1893" t="s">
        <v>15</v>
      </c>
      <c r="F1893" t="s">
        <v>134</v>
      </c>
      <c r="G1893" t="s">
        <v>39</v>
      </c>
      <c r="H1893" t="s">
        <v>141</v>
      </c>
      <c r="J1893" t="s">
        <v>369</v>
      </c>
      <c r="K1893" s="2">
        <v>18.399999999999999</v>
      </c>
      <c r="L1893">
        <v>10</v>
      </c>
      <c r="M1893">
        <f t="shared" si="29"/>
        <v>184</v>
      </c>
    </row>
    <row r="1894" spans="1:13">
      <c r="A1894" t="s">
        <v>367</v>
      </c>
      <c r="B1894" t="s">
        <v>368</v>
      </c>
      <c r="C1894" s="1">
        <v>40032</v>
      </c>
      <c r="D1894" t="s">
        <v>77</v>
      </c>
      <c r="E1894" t="s">
        <v>24</v>
      </c>
      <c r="F1894" t="s">
        <v>51</v>
      </c>
      <c r="G1894" t="s">
        <v>17</v>
      </c>
      <c r="H1894" t="s">
        <v>141</v>
      </c>
      <c r="J1894" t="s">
        <v>369</v>
      </c>
      <c r="K1894" s="2">
        <v>45.6</v>
      </c>
      <c r="L1894">
        <v>10</v>
      </c>
      <c r="M1894">
        <f t="shared" si="29"/>
        <v>456</v>
      </c>
    </row>
    <row r="1895" spans="1:13">
      <c r="A1895" t="s">
        <v>367</v>
      </c>
      <c r="B1895" t="s">
        <v>368</v>
      </c>
      <c r="C1895" s="1">
        <v>40032</v>
      </c>
      <c r="D1895" t="s">
        <v>88</v>
      </c>
      <c r="E1895" t="s">
        <v>24</v>
      </c>
      <c r="F1895" t="s">
        <v>51</v>
      </c>
      <c r="G1895" t="s">
        <v>17</v>
      </c>
      <c r="H1895" t="s">
        <v>141</v>
      </c>
      <c r="J1895" t="s">
        <v>369</v>
      </c>
      <c r="K1895" s="2">
        <v>123.79</v>
      </c>
      <c r="L1895">
        <v>6</v>
      </c>
      <c r="M1895">
        <f t="shared" si="29"/>
        <v>742.74</v>
      </c>
    </row>
    <row r="1896" spans="1:13">
      <c r="A1896" t="s">
        <v>367</v>
      </c>
      <c r="B1896" t="s">
        <v>368</v>
      </c>
      <c r="C1896" s="1">
        <v>39544</v>
      </c>
      <c r="D1896" t="s">
        <v>120</v>
      </c>
      <c r="E1896" t="s">
        <v>15</v>
      </c>
      <c r="F1896" t="s">
        <v>33</v>
      </c>
      <c r="G1896" t="s">
        <v>39</v>
      </c>
      <c r="H1896" t="s">
        <v>141</v>
      </c>
      <c r="J1896" t="s">
        <v>369</v>
      </c>
      <c r="K1896" s="2">
        <v>7</v>
      </c>
      <c r="L1896">
        <v>10</v>
      </c>
      <c r="M1896">
        <f t="shared" si="29"/>
        <v>70</v>
      </c>
    </row>
    <row r="1897" spans="1:13">
      <c r="A1897" t="s">
        <v>367</v>
      </c>
      <c r="B1897" t="s">
        <v>368</v>
      </c>
      <c r="C1897" s="1">
        <v>40065</v>
      </c>
      <c r="D1897" t="s">
        <v>102</v>
      </c>
      <c r="E1897" t="s">
        <v>50</v>
      </c>
      <c r="F1897" t="s">
        <v>47</v>
      </c>
      <c r="G1897" t="s">
        <v>39</v>
      </c>
      <c r="H1897" t="s">
        <v>141</v>
      </c>
      <c r="J1897" t="s">
        <v>369</v>
      </c>
      <c r="K1897" s="2">
        <v>31</v>
      </c>
      <c r="L1897">
        <v>6</v>
      </c>
      <c r="M1897">
        <f t="shared" si="29"/>
        <v>186</v>
      </c>
    </row>
    <row r="1898" spans="1:13">
      <c r="A1898" t="s">
        <v>367</v>
      </c>
      <c r="B1898" t="s">
        <v>368</v>
      </c>
      <c r="C1898" s="1">
        <v>40032</v>
      </c>
      <c r="D1898" t="s">
        <v>73</v>
      </c>
      <c r="E1898" t="s">
        <v>24</v>
      </c>
      <c r="F1898" t="s">
        <v>74</v>
      </c>
      <c r="G1898" t="s">
        <v>17</v>
      </c>
      <c r="H1898" t="s">
        <v>141</v>
      </c>
      <c r="J1898" t="s">
        <v>369</v>
      </c>
      <c r="K1898" s="2">
        <v>19.45</v>
      </c>
      <c r="L1898">
        <v>10</v>
      </c>
      <c r="M1898">
        <f t="shared" si="29"/>
        <v>194.5</v>
      </c>
    </row>
    <row r="1899" spans="1:13">
      <c r="A1899" t="s">
        <v>367</v>
      </c>
      <c r="B1899" t="s">
        <v>368</v>
      </c>
      <c r="C1899" s="1">
        <v>40065</v>
      </c>
      <c r="D1899" t="s">
        <v>171</v>
      </c>
      <c r="E1899" t="s">
        <v>50</v>
      </c>
      <c r="F1899" t="s">
        <v>45</v>
      </c>
      <c r="G1899" t="s">
        <v>39</v>
      </c>
      <c r="H1899" t="s">
        <v>141</v>
      </c>
      <c r="J1899" t="s">
        <v>369</v>
      </c>
      <c r="K1899" s="2">
        <v>14</v>
      </c>
      <c r="L1899">
        <v>3</v>
      </c>
      <c r="M1899">
        <f t="shared" si="29"/>
        <v>42</v>
      </c>
    </row>
    <row r="1900" spans="1:13">
      <c r="A1900" t="s">
        <v>370</v>
      </c>
      <c r="B1900" t="s">
        <v>371</v>
      </c>
      <c r="C1900" s="1">
        <v>39654</v>
      </c>
      <c r="D1900" t="s">
        <v>48</v>
      </c>
      <c r="E1900" t="s">
        <v>53</v>
      </c>
      <c r="F1900" t="s">
        <v>22</v>
      </c>
      <c r="G1900" t="s">
        <v>17</v>
      </c>
      <c r="H1900" t="s">
        <v>199</v>
      </c>
      <c r="J1900" t="s">
        <v>372</v>
      </c>
      <c r="K1900" s="2">
        <v>31.2</v>
      </c>
      <c r="L1900">
        <v>30</v>
      </c>
      <c r="M1900">
        <f t="shared" si="29"/>
        <v>936</v>
      </c>
    </row>
    <row r="1901" spans="1:13">
      <c r="A1901" t="s">
        <v>370</v>
      </c>
      <c r="B1901" t="s">
        <v>371</v>
      </c>
      <c r="C1901" s="1">
        <v>39654</v>
      </c>
      <c r="D1901" t="s">
        <v>116</v>
      </c>
      <c r="E1901" t="s">
        <v>53</v>
      </c>
      <c r="F1901" t="s">
        <v>22</v>
      </c>
      <c r="G1901" t="s">
        <v>17</v>
      </c>
      <c r="H1901" t="s">
        <v>199</v>
      </c>
      <c r="J1901" t="s">
        <v>372</v>
      </c>
      <c r="K1901" s="2">
        <v>12</v>
      </c>
      <c r="L1901">
        <v>20</v>
      </c>
      <c r="M1901">
        <f t="shared" si="29"/>
        <v>240</v>
      </c>
    </row>
    <row r="1902" spans="1:13">
      <c r="A1902" t="s">
        <v>370</v>
      </c>
      <c r="B1902" t="s">
        <v>371</v>
      </c>
      <c r="C1902" s="1">
        <v>39973</v>
      </c>
      <c r="D1902" t="s">
        <v>96</v>
      </c>
      <c r="E1902" t="s">
        <v>103</v>
      </c>
      <c r="F1902" t="s">
        <v>97</v>
      </c>
      <c r="G1902" t="s">
        <v>17</v>
      </c>
      <c r="H1902" t="s">
        <v>199</v>
      </c>
      <c r="J1902" t="s">
        <v>372</v>
      </c>
      <c r="K1902" s="2">
        <v>18</v>
      </c>
      <c r="L1902">
        <v>10</v>
      </c>
      <c r="M1902">
        <f t="shared" si="29"/>
        <v>180</v>
      </c>
    </row>
    <row r="1903" spans="1:13">
      <c r="A1903" t="s">
        <v>370</v>
      </c>
      <c r="B1903" t="s">
        <v>371</v>
      </c>
      <c r="C1903" s="1">
        <v>39973</v>
      </c>
      <c r="D1903" t="s">
        <v>42</v>
      </c>
      <c r="E1903" t="s">
        <v>103</v>
      </c>
      <c r="F1903" t="s">
        <v>22</v>
      </c>
      <c r="G1903" t="s">
        <v>17</v>
      </c>
      <c r="H1903" t="s">
        <v>199</v>
      </c>
      <c r="J1903" t="s">
        <v>372</v>
      </c>
      <c r="K1903" s="2">
        <v>62.5</v>
      </c>
      <c r="L1903">
        <v>18</v>
      </c>
      <c r="M1903">
        <f t="shared" si="29"/>
        <v>1125</v>
      </c>
    </row>
    <row r="1904" spans="1:13">
      <c r="A1904" t="s">
        <v>370</v>
      </c>
      <c r="B1904" t="s">
        <v>371</v>
      </c>
      <c r="C1904" s="1">
        <v>39973</v>
      </c>
      <c r="D1904" t="s">
        <v>131</v>
      </c>
      <c r="E1904" t="s">
        <v>103</v>
      </c>
      <c r="F1904" t="s">
        <v>132</v>
      </c>
      <c r="G1904" t="s">
        <v>17</v>
      </c>
      <c r="H1904" t="s">
        <v>199</v>
      </c>
      <c r="J1904" t="s">
        <v>372</v>
      </c>
      <c r="K1904" s="2">
        <v>21</v>
      </c>
      <c r="L1904">
        <v>35</v>
      </c>
      <c r="M1904">
        <f t="shared" si="29"/>
        <v>735</v>
      </c>
    </row>
    <row r="1905" spans="1:13">
      <c r="A1905" t="s">
        <v>370</v>
      </c>
      <c r="B1905" t="s">
        <v>371</v>
      </c>
      <c r="C1905" s="1">
        <v>39849</v>
      </c>
      <c r="D1905" t="s">
        <v>70</v>
      </c>
      <c r="E1905" t="s">
        <v>15</v>
      </c>
      <c r="F1905" t="s">
        <v>61</v>
      </c>
      <c r="G1905" t="s">
        <v>17</v>
      </c>
      <c r="H1905" t="s">
        <v>199</v>
      </c>
      <c r="J1905" t="s">
        <v>372</v>
      </c>
      <c r="K1905" s="2">
        <v>9.6</v>
      </c>
      <c r="L1905">
        <v>5</v>
      </c>
      <c r="M1905">
        <f t="shared" si="29"/>
        <v>48</v>
      </c>
    </row>
    <row r="1906" spans="1:13">
      <c r="A1906" t="s">
        <v>370</v>
      </c>
      <c r="B1906" t="s">
        <v>371</v>
      </c>
      <c r="C1906" s="1">
        <v>39743</v>
      </c>
      <c r="D1906" t="s">
        <v>55</v>
      </c>
      <c r="E1906" t="s">
        <v>24</v>
      </c>
      <c r="F1906" t="s">
        <v>56</v>
      </c>
      <c r="G1906" t="s">
        <v>17</v>
      </c>
      <c r="H1906" t="s">
        <v>199</v>
      </c>
      <c r="J1906" t="s">
        <v>372</v>
      </c>
      <c r="K1906" s="2">
        <v>210.8</v>
      </c>
      <c r="L1906">
        <v>10</v>
      </c>
      <c r="M1906">
        <f t="shared" si="29"/>
        <v>2108</v>
      </c>
    </row>
    <row r="1907" spans="1:13">
      <c r="A1907" t="s">
        <v>370</v>
      </c>
      <c r="B1907" t="s">
        <v>371</v>
      </c>
      <c r="C1907" s="1">
        <v>39849</v>
      </c>
      <c r="D1907" t="s">
        <v>147</v>
      </c>
      <c r="E1907" t="s">
        <v>15</v>
      </c>
      <c r="F1907" t="s">
        <v>51</v>
      </c>
      <c r="G1907" t="s">
        <v>17</v>
      </c>
      <c r="H1907" t="s">
        <v>199</v>
      </c>
      <c r="J1907" t="s">
        <v>372</v>
      </c>
      <c r="K1907" s="2">
        <v>26.6</v>
      </c>
      <c r="L1907">
        <v>30</v>
      </c>
      <c r="M1907">
        <f t="shared" si="29"/>
        <v>798</v>
      </c>
    </row>
    <row r="1908" spans="1:13">
      <c r="A1908" t="s">
        <v>370</v>
      </c>
      <c r="B1908" t="s">
        <v>371</v>
      </c>
      <c r="C1908" s="1">
        <v>39849</v>
      </c>
      <c r="D1908" t="s">
        <v>71</v>
      </c>
      <c r="E1908" t="s">
        <v>15</v>
      </c>
      <c r="F1908" t="s">
        <v>51</v>
      </c>
      <c r="G1908" t="s">
        <v>17</v>
      </c>
      <c r="H1908" t="s">
        <v>199</v>
      </c>
      <c r="J1908" t="s">
        <v>372</v>
      </c>
      <c r="K1908" s="2">
        <v>6.2</v>
      </c>
      <c r="L1908">
        <v>24</v>
      </c>
      <c r="M1908">
        <f t="shared" si="29"/>
        <v>148.80000000000001</v>
      </c>
    </row>
    <row r="1909" spans="1:13">
      <c r="A1909" t="s">
        <v>370</v>
      </c>
      <c r="B1909" t="s">
        <v>371</v>
      </c>
      <c r="C1909" s="1">
        <v>39743</v>
      </c>
      <c r="D1909" t="s">
        <v>14</v>
      </c>
      <c r="E1909" t="s">
        <v>24</v>
      </c>
      <c r="F1909" t="s">
        <v>16</v>
      </c>
      <c r="G1909" t="s">
        <v>17</v>
      </c>
      <c r="H1909" t="s">
        <v>199</v>
      </c>
      <c r="J1909" t="s">
        <v>372</v>
      </c>
      <c r="K1909" s="2">
        <v>5.9</v>
      </c>
      <c r="L1909">
        <v>28</v>
      </c>
      <c r="M1909">
        <f t="shared" si="29"/>
        <v>165.20000000000002</v>
      </c>
    </row>
    <row r="1910" spans="1:13">
      <c r="A1910" t="s">
        <v>370</v>
      </c>
      <c r="B1910" t="s">
        <v>371</v>
      </c>
      <c r="C1910" s="1">
        <v>39743</v>
      </c>
      <c r="D1910" t="s">
        <v>119</v>
      </c>
      <c r="E1910" t="s">
        <v>24</v>
      </c>
      <c r="F1910" t="s">
        <v>97</v>
      </c>
      <c r="G1910" t="s">
        <v>17</v>
      </c>
      <c r="H1910" t="s">
        <v>199</v>
      </c>
      <c r="J1910" t="s">
        <v>372</v>
      </c>
      <c r="K1910" s="2">
        <v>16</v>
      </c>
      <c r="L1910">
        <v>35</v>
      </c>
      <c r="M1910">
        <f t="shared" si="29"/>
        <v>560</v>
      </c>
    </row>
    <row r="1911" spans="1:13">
      <c r="A1911" t="s">
        <v>370</v>
      </c>
      <c r="B1911" t="s">
        <v>371</v>
      </c>
      <c r="C1911" s="1">
        <v>39862</v>
      </c>
      <c r="D1911" t="s">
        <v>38</v>
      </c>
      <c r="E1911" t="s">
        <v>15</v>
      </c>
      <c r="F1911" t="s">
        <v>29</v>
      </c>
      <c r="G1911" t="s">
        <v>17</v>
      </c>
      <c r="H1911" t="s">
        <v>199</v>
      </c>
      <c r="J1911" t="s">
        <v>372</v>
      </c>
      <c r="K1911" s="2">
        <v>39.4</v>
      </c>
      <c r="L1911">
        <v>35</v>
      </c>
      <c r="M1911">
        <f t="shared" si="29"/>
        <v>1379</v>
      </c>
    </row>
    <row r="1912" spans="1:13">
      <c r="A1912" t="s">
        <v>370</v>
      </c>
      <c r="B1912" t="s">
        <v>371</v>
      </c>
      <c r="C1912" s="1">
        <v>39849</v>
      </c>
      <c r="D1912" t="s">
        <v>62</v>
      </c>
      <c r="E1912" t="s">
        <v>15</v>
      </c>
      <c r="F1912" t="s">
        <v>63</v>
      </c>
      <c r="G1912" t="s">
        <v>17</v>
      </c>
      <c r="H1912" t="s">
        <v>199</v>
      </c>
      <c r="J1912" t="s">
        <v>372</v>
      </c>
      <c r="K1912" s="2">
        <v>30.4</v>
      </c>
      <c r="L1912">
        <v>40</v>
      </c>
      <c r="M1912">
        <f t="shared" si="29"/>
        <v>1216</v>
      </c>
    </row>
    <row r="1913" spans="1:13">
      <c r="A1913" t="s">
        <v>370</v>
      </c>
      <c r="B1913" t="s">
        <v>371</v>
      </c>
      <c r="C1913" s="1">
        <v>40079</v>
      </c>
      <c r="D1913" t="s">
        <v>52</v>
      </c>
      <c r="E1913" t="s">
        <v>67</v>
      </c>
      <c r="F1913" t="s">
        <v>54</v>
      </c>
      <c r="G1913" t="s">
        <v>17</v>
      </c>
      <c r="H1913" t="s">
        <v>199</v>
      </c>
      <c r="J1913" t="s">
        <v>372</v>
      </c>
      <c r="K1913" s="2">
        <v>55</v>
      </c>
      <c r="L1913">
        <v>12</v>
      </c>
      <c r="M1913">
        <f t="shared" si="29"/>
        <v>660</v>
      </c>
    </row>
    <row r="1914" spans="1:13">
      <c r="A1914" t="s">
        <v>370</v>
      </c>
      <c r="B1914" t="s">
        <v>371</v>
      </c>
      <c r="C1914" s="1">
        <v>39695</v>
      </c>
      <c r="D1914" t="s">
        <v>75</v>
      </c>
      <c r="E1914" t="s">
        <v>66</v>
      </c>
      <c r="F1914" t="s">
        <v>76</v>
      </c>
      <c r="G1914" t="s">
        <v>17</v>
      </c>
      <c r="H1914" t="s">
        <v>199</v>
      </c>
      <c r="J1914" t="s">
        <v>372</v>
      </c>
      <c r="K1914" s="2">
        <v>27.8</v>
      </c>
      <c r="L1914">
        <v>20</v>
      </c>
      <c r="M1914">
        <f t="shared" si="29"/>
        <v>556</v>
      </c>
    </row>
    <row r="1915" spans="1:13">
      <c r="A1915" t="s">
        <v>370</v>
      </c>
      <c r="B1915" t="s">
        <v>371</v>
      </c>
      <c r="C1915" s="1">
        <v>39456</v>
      </c>
      <c r="D1915" t="s">
        <v>137</v>
      </c>
      <c r="E1915" t="s">
        <v>89</v>
      </c>
      <c r="F1915" t="s">
        <v>76</v>
      </c>
      <c r="G1915" t="s">
        <v>39</v>
      </c>
      <c r="H1915" t="s">
        <v>199</v>
      </c>
      <c r="J1915" t="s">
        <v>372</v>
      </c>
      <c r="K1915" s="2">
        <v>12.5</v>
      </c>
      <c r="L1915">
        <v>35</v>
      </c>
      <c r="M1915">
        <f t="shared" si="29"/>
        <v>437.5</v>
      </c>
    </row>
    <row r="1916" spans="1:13">
      <c r="A1916" t="s">
        <v>370</v>
      </c>
      <c r="B1916" t="s">
        <v>371</v>
      </c>
      <c r="C1916" s="1">
        <v>39456</v>
      </c>
      <c r="D1916" t="s">
        <v>123</v>
      </c>
      <c r="E1916" t="s">
        <v>89</v>
      </c>
      <c r="F1916" t="s">
        <v>63</v>
      </c>
      <c r="G1916" t="s">
        <v>39</v>
      </c>
      <c r="H1916" t="s">
        <v>199</v>
      </c>
      <c r="J1916" t="s">
        <v>372</v>
      </c>
      <c r="K1916" s="2">
        <v>19.5</v>
      </c>
      <c r="L1916">
        <v>15</v>
      </c>
      <c r="M1916">
        <f t="shared" si="29"/>
        <v>292.5</v>
      </c>
    </row>
    <row r="1917" spans="1:13">
      <c r="A1917" t="s">
        <v>370</v>
      </c>
      <c r="B1917" t="s">
        <v>371</v>
      </c>
      <c r="C1917" s="1">
        <v>39695</v>
      </c>
      <c r="D1917" t="s">
        <v>109</v>
      </c>
      <c r="E1917" t="s">
        <v>66</v>
      </c>
      <c r="F1917" t="s">
        <v>56</v>
      </c>
      <c r="G1917" t="s">
        <v>17</v>
      </c>
      <c r="H1917" t="s">
        <v>199</v>
      </c>
      <c r="J1917" t="s">
        <v>372</v>
      </c>
      <c r="K1917" s="2">
        <v>14.4</v>
      </c>
      <c r="L1917">
        <v>60</v>
      </c>
      <c r="M1917">
        <f t="shared" si="29"/>
        <v>864</v>
      </c>
    </row>
    <row r="1918" spans="1:13">
      <c r="A1918" t="s">
        <v>370</v>
      </c>
      <c r="B1918" t="s">
        <v>371</v>
      </c>
      <c r="C1918" s="1">
        <v>39969</v>
      </c>
      <c r="D1918" t="s">
        <v>148</v>
      </c>
      <c r="E1918" t="s">
        <v>89</v>
      </c>
      <c r="F1918" t="s">
        <v>16</v>
      </c>
      <c r="G1918" t="s">
        <v>17</v>
      </c>
      <c r="H1918" t="s">
        <v>199</v>
      </c>
      <c r="J1918" t="s">
        <v>372</v>
      </c>
      <c r="K1918" s="2">
        <v>24</v>
      </c>
      <c r="L1918">
        <v>18</v>
      </c>
      <c r="M1918">
        <f t="shared" si="29"/>
        <v>432</v>
      </c>
    </row>
    <row r="1919" spans="1:13">
      <c r="A1919" t="s">
        <v>370</v>
      </c>
      <c r="B1919" t="s">
        <v>371</v>
      </c>
      <c r="C1919" s="1">
        <v>39862</v>
      </c>
      <c r="D1919" t="s">
        <v>102</v>
      </c>
      <c r="E1919" t="s">
        <v>15</v>
      </c>
      <c r="F1919" t="s">
        <v>47</v>
      </c>
      <c r="G1919" t="s">
        <v>17</v>
      </c>
      <c r="H1919" t="s">
        <v>199</v>
      </c>
      <c r="J1919" t="s">
        <v>372</v>
      </c>
      <c r="K1919" s="2">
        <v>24.8</v>
      </c>
      <c r="L1919">
        <v>14</v>
      </c>
      <c r="M1919">
        <f t="shared" si="29"/>
        <v>347.2</v>
      </c>
    </row>
    <row r="1920" spans="1:13">
      <c r="A1920" t="s">
        <v>370</v>
      </c>
      <c r="B1920" t="s">
        <v>371</v>
      </c>
      <c r="C1920" s="1">
        <v>40034</v>
      </c>
      <c r="D1920" t="s">
        <v>111</v>
      </c>
      <c r="E1920" t="s">
        <v>24</v>
      </c>
      <c r="F1920" t="s">
        <v>37</v>
      </c>
      <c r="G1920" t="s">
        <v>17</v>
      </c>
      <c r="H1920" t="s">
        <v>199</v>
      </c>
      <c r="J1920" t="s">
        <v>372</v>
      </c>
      <c r="K1920" s="2">
        <v>18</v>
      </c>
      <c r="L1920">
        <v>25</v>
      </c>
      <c r="M1920">
        <f t="shared" si="29"/>
        <v>450</v>
      </c>
    </row>
    <row r="1921" spans="1:13">
      <c r="A1921" t="s">
        <v>370</v>
      </c>
      <c r="B1921" t="s">
        <v>371</v>
      </c>
      <c r="C1921" s="1">
        <v>39969</v>
      </c>
      <c r="D1921" t="s">
        <v>133</v>
      </c>
      <c r="E1921" t="s">
        <v>89</v>
      </c>
      <c r="F1921" t="s">
        <v>134</v>
      </c>
      <c r="G1921" t="s">
        <v>17</v>
      </c>
      <c r="H1921" t="s">
        <v>199</v>
      </c>
      <c r="J1921" t="s">
        <v>372</v>
      </c>
      <c r="K1921" s="2">
        <v>9.65</v>
      </c>
      <c r="L1921">
        <v>12</v>
      </c>
      <c r="M1921">
        <f t="shared" si="29"/>
        <v>115.80000000000001</v>
      </c>
    </row>
    <row r="1922" spans="1:13">
      <c r="A1922" t="s">
        <v>370</v>
      </c>
      <c r="B1922" t="s">
        <v>371</v>
      </c>
      <c r="C1922" s="1">
        <v>39743</v>
      </c>
      <c r="D1922" t="s">
        <v>88</v>
      </c>
      <c r="E1922" t="s">
        <v>24</v>
      </c>
      <c r="F1922" t="s">
        <v>51</v>
      </c>
      <c r="G1922" t="s">
        <v>17</v>
      </c>
      <c r="H1922" t="s">
        <v>199</v>
      </c>
      <c r="J1922" t="s">
        <v>372</v>
      </c>
      <c r="K1922" s="2">
        <v>99</v>
      </c>
      <c r="L1922">
        <v>35</v>
      </c>
      <c r="M1922">
        <f t="shared" si="29"/>
        <v>3465</v>
      </c>
    </row>
    <row r="1923" spans="1:13">
      <c r="A1923" t="s">
        <v>370</v>
      </c>
      <c r="B1923" t="s">
        <v>371</v>
      </c>
      <c r="C1923" s="1">
        <v>39743</v>
      </c>
      <c r="D1923" t="s">
        <v>77</v>
      </c>
      <c r="E1923" t="s">
        <v>24</v>
      </c>
      <c r="F1923" t="s">
        <v>51</v>
      </c>
      <c r="G1923" t="s">
        <v>17</v>
      </c>
      <c r="H1923" t="s">
        <v>199</v>
      </c>
      <c r="J1923" t="s">
        <v>372</v>
      </c>
      <c r="K1923" s="2">
        <v>36.4</v>
      </c>
      <c r="L1923">
        <v>30</v>
      </c>
      <c r="M1923">
        <f t="shared" ref="M1923:M1986" si="30">K1923*L1923</f>
        <v>1092</v>
      </c>
    </row>
    <row r="1924" spans="1:13">
      <c r="A1924" t="s">
        <v>370</v>
      </c>
      <c r="B1924" t="s">
        <v>371</v>
      </c>
      <c r="C1924" s="1">
        <v>39862</v>
      </c>
      <c r="D1924" t="s">
        <v>120</v>
      </c>
      <c r="E1924" t="s">
        <v>15</v>
      </c>
      <c r="F1924" t="s">
        <v>33</v>
      </c>
      <c r="G1924" t="s">
        <v>17</v>
      </c>
      <c r="H1924" t="s">
        <v>199</v>
      </c>
      <c r="J1924" t="s">
        <v>372</v>
      </c>
      <c r="K1924" s="2">
        <v>5.6</v>
      </c>
      <c r="L1924">
        <v>20</v>
      </c>
      <c r="M1924">
        <f t="shared" si="30"/>
        <v>112</v>
      </c>
    </row>
    <row r="1925" spans="1:13">
      <c r="A1925" t="s">
        <v>370</v>
      </c>
      <c r="B1925" t="s">
        <v>371</v>
      </c>
      <c r="C1925" s="1">
        <v>39994</v>
      </c>
      <c r="D1925" t="s">
        <v>137</v>
      </c>
      <c r="E1925" t="s">
        <v>24</v>
      </c>
      <c r="F1925" t="s">
        <v>76</v>
      </c>
      <c r="G1925" t="s">
        <v>17</v>
      </c>
      <c r="H1925" t="s">
        <v>199</v>
      </c>
      <c r="J1925" t="s">
        <v>372</v>
      </c>
      <c r="K1925" s="2">
        <v>12.5</v>
      </c>
      <c r="L1925">
        <v>50</v>
      </c>
      <c r="M1925">
        <f t="shared" si="30"/>
        <v>625</v>
      </c>
    </row>
    <row r="1926" spans="1:13">
      <c r="A1926" t="s">
        <v>373</v>
      </c>
      <c r="B1926" t="s">
        <v>374</v>
      </c>
      <c r="C1926" s="1">
        <v>40078</v>
      </c>
      <c r="D1926" t="s">
        <v>73</v>
      </c>
      <c r="E1926" t="s">
        <v>53</v>
      </c>
      <c r="F1926" t="s">
        <v>74</v>
      </c>
      <c r="G1926" t="s">
        <v>17</v>
      </c>
      <c r="H1926" t="s">
        <v>106</v>
      </c>
      <c r="I1926" t="s">
        <v>190</v>
      </c>
      <c r="J1926" t="s">
        <v>223</v>
      </c>
      <c r="K1926" s="2">
        <v>19.45</v>
      </c>
      <c r="L1926">
        <v>21</v>
      </c>
      <c r="M1926">
        <f t="shared" si="30"/>
        <v>408.45</v>
      </c>
    </row>
    <row r="1927" spans="1:13">
      <c r="A1927" t="s">
        <v>373</v>
      </c>
      <c r="B1927" t="s">
        <v>374</v>
      </c>
      <c r="C1927" s="1">
        <v>40078</v>
      </c>
      <c r="D1927" t="s">
        <v>64</v>
      </c>
      <c r="E1927" t="s">
        <v>53</v>
      </c>
      <c r="F1927" t="s">
        <v>35</v>
      </c>
      <c r="G1927" t="s">
        <v>17</v>
      </c>
      <c r="H1927" t="s">
        <v>106</v>
      </c>
      <c r="I1927" t="s">
        <v>190</v>
      </c>
      <c r="J1927" t="s">
        <v>223</v>
      </c>
      <c r="K1927" s="2">
        <v>9.1999999999999993</v>
      </c>
      <c r="L1927">
        <v>7</v>
      </c>
      <c r="M1927">
        <f t="shared" si="30"/>
        <v>64.399999999999991</v>
      </c>
    </row>
    <row r="1928" spans="1:13">
      <c r="A1928" t="s">
        <v>373</v>
      </c>
      <c r="B1928" t="s">
        <v>374</v>
      </c>
      <c r="C1928" s="1">
        <v>39928</v>
      </c>
      <c r="D1928" t="s">
        <v>55</v>
      </c>
      <c r="E1928" t="s">
        <v>24</v>
      </c>
      <c r="F1928" t="s">
        <v>56</v>
      </c>
      <c r="G1928" t="s">
        <v>17</v>
      </c>
      <c r="H1928" t="s">
        <v>106</v>
      </c>
      <c r="I1928" t="s">
        <v>190</v>
      </c>
      <c r="J1928" t="s">
        <v>223</v>
      </c>
      <c r="K1928" s="2">
        <v>263.5</v>
      </c>
      <c r="L1928">
        <v>15</v>
      </c>
      <c r="M1928">
        <f t="shared" si="30"/>
        <v>3952.5</v>
      </c>
    </row>
    <row r="1929" spans="1:13">
      <c r="A1929" t="s">
        <v>373</v>
      </c>
      <c r="B1929" t="s">
        <v>374</v>
      </c>
      <c r="C1929" s="1">
        <v>39467</v>
      </c>
      <c r="D1929" t="s">
        <v>116</v>
      </c>
      <c r="E1929" t="s">
        <v>21</v>
      </c>
      <c r="F1929" t="s">
        <v>22</v>
      </c>
      <c r="G1929" t="s">
        <v>39</v>
      </c>
      <c r="H1929" t="s">
        <v>106</v>
      </c>
      <c r="I1929" t="s">
        <v>190</v>
      </c>
      <c r="J1929" t="s">
        <v>223</v>
      </c>
      <c r="K1929" s="2">
        <v>15</v>
      </c>
      <c r="L1929">
        <v>12</v>
      </c>
      <c r="M1929">
        <f t="shared" si="30"/>
        <v>180</v>
      </c>
    </row>
    <row r="1930" spans="1:13">
      <c r="A1930" t="s">
        <v>373</v>
      </c>
      <c r="B1930" t="s">
        <v>374</v>
      </c>
      <c r="C1930" s="1">
        <v>39928</v>
      </c>
      <c r="D1930" t="s">
        <v>98</v>
      </c>
      <c r="E1930" t="s">
        <v>24</v>
      </c>
      <c r="F1930" t="s">
        <v>99</v>
      </c>
      <c r="G1930" t="s">
        <v>17</v>
      </c>
      <c r="H1930" t="s">
        <v>106</v>
      </c>
      <c r="I1930" t="s">
        <v>190</v>
      </c>
      <c r="J1930" t="s">
        <v>223</v>
      </c>
      <c r="K1930" s="2">
        <v>4.5</v>
      </c>
      <c r="L1930">
        <v>5</v>
      </c>
      <c r="M1930">
        <f t="shared" si="30"/>
        <v>22.5</v>
      </c>
    </row>
    <row r="1931" spans="1:13">
      <c r="A1931" t="s">
        <v>373</v>
      </c>
      <c r="B1931" t="s">
        <v>374</v>
      </c>
      <c r="C1931" s="1">
        <v>40078</v>
      </c>
      <c r="D1931" t="s">
        <v>102</v>
      </c>
      <c r="E1931" t="s">
        <v>53</v>
      </c>
      <c r="F1931" t="s">
        <v>47</v>
      </c>
      <c r="G1931" t="s">
        <v>17</v>
      </c>
      <c r="H1931" t="s">
        <v>106</v>
      </c>
      <c r="I1931" t="s">
        <v>190</v>
      </c>
      <c r="J1931" t="s">
        <v>223</v>
      </c>
      <c r="K1931" s="2">
        <v>31</v>
      </c>
      <c r="L1931">
        <v>2</v>
      </c>
      <c r="M1931">
        <f t="shared" si="30"/>
        <v>62</v>
      </c>
    </row>
    <row r="1932" spans="1:13">
      <c r="A1932" t="s">
        <v>373</v>
      </c>
      <c r="B1932" t="s">
        <v>374</v>
      </c>
      <c r="C1932" s="1">
        <v>39928</v>
      </c>
      <c r="D1932" t="s">
        <v>73</v>
      </c>
      <c r="E1932" t="s">
        <v>24</v>
      </c>
      <c r="F1932" t="s">
        <v>74</v>
      </c>
      <c r="G1932" t="s">
        <v>17</v>
      </c>
      <c r="H1932" t="s">
        <v>106</v>
      </c>
      <c r="I1932" t="s">
        <v>190</v>
      </c>
      <c r="J1932" t="s">
        <v>223</v>
      </c>
      <c r="K1932" s="2">
        <v>19.45</v>
      </c>
      <c r="L1932">
        <v>9</v>
      </c>
      <c r="M1932">
        <f t="shared" si="30"/>
        <v>175.04999999999998</v>
      </c>
    </row>
    <row r="1933" spans="1:13">
      <c r="A1933" t="s">
        <v>373</v>
      </c>
      <c r="B1933" t="s">
        <v>374</v>
      </c>
      <c r="C1933" s="1">
        <v>39668</v>
      </c>
      <c r="D1933" t="s">
        <v>102</v>
      </c>
      <c r="E1933" t="s">
        <v>67</v>
      </c>
      <c r="F1933" t="s">
        <v>47</v>
      </c>
      <c r="G1933" t="s">
        <v>17</v>
      </c>
      <c r="H1933" t="s">
        <v>106</v>
      </c>
      <c r="I1933" t="s">
        <v>190</v>
      </c>
      <c r="J1933" t="s">
        <v>223</v>
      </c>
      <c r="K1933" s="2">
        <v>24.8</v>
      </c>
      <c r="L1933">
        <v>15</v>
      </c>
      <c r="M1933">
        <f t="shared" si="30"/>
        <v>372</v>
      </c>
    </row>
    <row r="1934" spans="1:13">
      <c r="A1934" t="s">
        <v>373</v>
      </c>
      <c r="B1934" t="s">
        <v>374</v>
      </c>
      <c r="C1934" s="1">
        <v>39572</v>
      </c>
      <c r="D1934" t="s">
        <v>109</v>
      </c>
      <c r="E1934" t="s">
        <v>21</v>
      </c>
      <c r="F1934" t="s">
        <v>56</v>
      </c>
      <c r="G1934" t="s">
        <v>39</v>
      </c>
      <c r="H1934" t="s">
        <v>106</v>
      </c>
      <c r="I1934" t="s">
        <v>190</v>
      </c>
      <c r="J1934" t="s">
        <v>223</v>
      </c>
      <c r="K1934" s="2">
        <v>18</v>
      </c>
      <c r="L1934">
        <v>20</v>
      </c>
      <c r="M1934">
        <f t="shared" si="30"/>
        <v>360</v>
      </c>
    </row>
    <row r="1935" spans="1:13">
      <c r="A1935" t="s">
        <v>373</v>
      </c>
      <c r="B1935" t="s">
        <v>374</v>
      </c>
      <c r="C1935" s="1">
        <v>39723</v>
      </c>
      <c r="D1935" t="s">
        <v>48</v>
      </c>
      <c r="E1935" t="s">
        <v>50</v>
      </c>
      <c r="F1935" t="s">
        <v>22</v>
      </c>
      <c r="G1935" t="s">
        <v>17</v>
      </c>
      <c r="H1935" t="s">
        <v>106</v>
      </c>
      <c r="I1935" t="s">
        <v>190</v>
      </c>
      <c r="J1935" t="s">
        <v>223</v>
      </c>
      <c r="K1935" s="2">
        <v>31.2</v>
      </c>
      <c r="L1935">
        <v>8</v>
      </c>
      <c r="M1935">
        <f t="shared" si="30"/>
        <v>249.6</v>
      </c>
    </row>
    <row r="1936" spans="1:13">
      <c r="A1936" t="s">
        <v>373</v>
      </c>
      <c r="B1936" t="s">
        <v>374</v>
      </c>
      <c r="C1936" s="1">
        <v>39689</v>
      </c>
      <c r="D1936" t="s">
        <v>71</v>
      </c>
      <c r="E1936" t="s">
        <v>21</v>
      </c>
      <c r="F1936" t="s">
        <v>51</v>
      </c>
      <c r="G1936" t="s">
        <v>17</v>
      </c>
      <c r="H1936" t="s">
        <v>106</v>
      </c>
      <c r="I1936" t="s">
        <v>190</v>
      </c>
      <c r="J1936" t="s">
        <v>223</v>
      </c>
      <c r="K1936" s="2">
        <v>6.2</v>
      </c>
      <c r="L1936">
        <v>6</v>
      </c>
      <c r="M1936">
        <f t="shared" si="30"/>
        <v>37.200000000000003</v>
      </c>
    </row>
    <row r="1937" spans="1:13">
      <c r="A1937" t="s">
        <v>373</v>
      </c>
      <c r="B1937" t="s">
        <v>374</v>
      </c>
      <c r="C1937" s="1">
        <v>39700</v>
      </c>
      <c r="D1937" t="s">
        <v>119</v>
      </c>
      <c r="E1937" t="s">
        <v>21</v>
      </c>
      <c r="F1937" t="s">
        <v>97</v>
      </c>
      <c r="G1937" t="s">
        <v>17</v>
      </c>
      <c r="H1937" t="s">
        <v>106</v>
      </c>
      <c r="I1937" t="s">
        <v>190</v>
      </c>
      <c r="J1937" t="s">
        <v>223</v>
      </c>
      <c r="K1937" s="2">
        <v>16</v>
      </c>
      <c r="L1937">
        <v>30</v>
      </c>
      <c r="M1937">
        <f t="shared" si="30"/>
        <v>480</v>
      </c>
    </row>
    <row r="1938" spans="1:13">
      <c r="A1938" t="s">
        <v>373</v>
      </c>
      <c r="B1938" t="s">
        <v>374</v>
      </c>
      <c r="C1938" s="1">
        <v>39723</v>
      </c>
      <c r="D1938" t="s">
        <v>77</v>
      </c>
      <c r="E1938" t="s">
        <v>50</v>
      </c>
      <c r="F1938" t="s">
        <v>51</v>
      </c>
      <c r="G1938" t="s">
        <v>17</v>
      </c>
      <c r="H1938" t="s">
        <v>106</v>
      </c>
      <c r="I1938" t="s">
        <v>190</v>
      </c>
      <c r="J1938" t="s">
        <v>223</v>
      </c>
      <c r="K1938" s="2">
        <v>36.4</v>
      </c>
      <c r="L1938">
        <v>14</v>
      </c>
      <c r="M1938">
        <f t="shared" si="30"/>
        <v>509.59999999999997</v>
      </c>
    </row>
    <row r="1939" spans="1:13">
      <c r="A1939" t="s">
        <v>373</v>
      </c>
      <c r="B1939" t="s">
        <v>374</v>
      </c>
      <c r="C1939" s="1">
        <v>39700</v>
      </c>
      <c r="D1939" t="s">
        <v>52</v>
      </c>
      <c r="E1939" t="s">
        <v>21</v>
      </c>
      <c r="F1939" t="s">
        <v>54</v>
      </c>
      <c r="G1939" t="s">
        <v>17</v>
      </c>
      <c r="H1939" t="s">
        <v>106</v>
      </c>
      <c r="I1939" t="s">
        <v>190</v>
      </c>
      <c r="J1939" t="s">
        <v>223</v>
      </c>
      <c r="K1939" s="2">
        <v>44</v>
      </c>
      <c r="L1939">
        <v>10</v>
      </c>
      <c r="M1939">
        <f t="shared" si="30"/>
        <v>440</v>
      </c>
    </row>
    <row r="1940" spans="1:13">
      <c r="A1940" t="s">
        <v>373</v>
      </c>
      <c r="B1940" t="s">
        <v>374</v>
      </c>
      <c r="C1940" s="1">
        <v>39689</v>
      </c>
      <c r="D1940" t="s">
        <v>72</v>
      </c>
      <c r="E1940" t="s">
        <v>21</v>
      </c>
      <c r="F1940" t="s">
        <v>22</v>
      </c>
      <c r="G1940" t="s">
        <v>17</v>
      </c>
      <c r="H1940" t="s">
        <v>106</v>
      </c>
      <c r="I1940" t="s">
        <v>190</v>
      </c>
      <c r="J1940" t="s">
        <v>223</v>
      </c>
      <c r="K1940" s="2">
        <v>35.1</v>
      </c>
      <c r="L1940">
        <v>5</v>
      </c>
      <c r="M1940">
        <f t="shared" si="30"/>
        <v>175.5</v>
      </c>
    </row>
    <row r="1941" spans="1:13">
      <c r="A1941" t="s">
        <v>373</v>
      </c>
      <c r="B1941" t="s">
        <v>374</v>
      </c>
      <c r="C1941" s="1">
        <v>39668</v>
      </c>
      <c r="D1941" t="s">
        <v>124</v>
      </c>
      <c r="E1941" t="s">
        <v>67</v>
      </c>
      <c r="F1941" t="s">
        <v>125</v>
      </c>
      <c r="G1941" t="s">
        <v>17</v>
      </c>
      <c r="H1941" t="s">
        <v>106</v>
      </c>
      <c r="I1941" t="s">
        <v>190</v>
      </c>
      <c r="J1941" t="s">
        <v>223</v>
      </c>
      <c r="K1941" s="2">
        <v>4.8</v>
      </c>
      <c r="L1941">
        <v>10</v>
      </c>
      <c r="M1941">
        <f t="shared" si="30"/>
        <v>48</v>
      </c>
    </row>
    <row r="1942" spans="1:13">
      <c r="A1942" t="s">
        <v>373</v>
      </c>
      <c r="B1942" t="s">
        <v>374</v>
      </c>
      <c r="C1942" s="1">
        <v>39987</v>
      </c>
      <c r="D1942" t="s">
        <v>73</v>
      </c>
      <c r="E1942" t="s">
        <v>15</v>
      </c>
      <c r="F1942" t="s">
        <v>74</v>
      </c>
      <c r="G1942" t="s">
        <v>17</v>
      </c>
      <c r="H1942" t="s">
        <v>106</v>
      </c>
      <c r="I1942" t="s">
        <v>190</v>
      </c>
      <c r="J1942" t="s">
        <v>223</v>
      </c>
      <c r="K1942" s="2">
        <v>19.45</v>
      </c>
      <c r="L1942">
        <v>21</v>
      </c>
      <c r="M1942">
        <f t="shared" si="30"/>
        <v>408.45</v>
      </c>
    </row>
    <row r="1943" spans="1:13">
      <c r="A1943" t="s">
        <v>373</v>
      </c>
      <c r="B1943" t="s">
        <v>374</v>
      </c>
      <c r="C1943" s="1">
        <v>39467</v>
      </c>
      <c r="D1943" t="s">
        <v>131</v>
      </c>
      <c r="E1943" t="s">
        <v>21</v>
      </c>
      <c r="F1943" t="s">
        <v>132</v>
      </c>
      <c r="G1943" t="s">
        <v>39</v>
      </c>
      <c r="H1943" t="s">
        <v>106</v>
      </c>
      <c r="I1943" t="s">
        <v>190</v>
      </c>
      <c r="J1943" t="s">
        <v>223</v>
      </c>
      <c r="K1943" s="2">
        <v>21</v>
      </c>
      <c r="L1943">
        <v>15</v>
      </c>
      <c r="M1943">
        <f t="shared" si="30"/>
        <v>315</v>
      </c>
    </row>
    <row r="1944" spans="1:13">
      <c r="A1944" t="s">
        <v>373</v>
      </c>
      <c r="B1944" t="s">
        <v>374</v>
      </c>
      <c r="C1944" s="1">
        <v>39700</v>
      </c>
      <c r="D1944" t="s">
        <v>121</v>
      </c>
      <c r="E1944" t="s">
        <v>21</v>
      </c>
      <c r="F1944" t="s">
        <v>41</v>
      </c>
      <c r="G1944" t="s">
        <v>17</v>
      </c>
      <c r="H1944" t="s">
        <v>106</v>
      </c>
      <c r="I1944" t="s">
        <v>190</v>
      </c>
      <c r="J1944" t="s">
        <v>223</v>
      </c>
      <c r="K1944" s="2">
        <v>17.2</v>
      </c>
      <c r="L1944">
        <v>2</v>
      </c>
      <c r="M1944">
        <f t="shared" si="30"/>
        <v>34.4</v>
      </c>
    </row>
    <row r="1945" spans="1:13">
      <c r="A1945" t="s">
        <v>373</v>
      </c>
      <c r="B1945" t="s">
        <v>374</v>
      </c>
      <c r="C1945" s="1">
        <v>39689</v>
      </c>
      <c r="D1945" t="s">
        <v>42</v>
      </c>
      <c r="E1945" t="s">
        <v>21</v>
      </c>
      <c r="F1945" t="s">
        <v>22</v>
      </c>
      <c r="G1945" t="s">
        <v>17</v>
      </c>
      <c r="H1945" t="s">
        <v>106</v>
      </c>
      <c r="I1945" t="s">
        <v>190</v>
      </c>
      <c r="J1945" t="s">
        <v>223</v>
      </c>
      <c r="K1945" s="2">
        <v>50</v>
      </c>
      <c r="L1945">
        <v>12</v>
      </c>
      <c r="M1945">
        <f t="shared" si="30"/>
        <v>600</v>
      </c>
    </row>
    <row r="1946" spans="1:13">
      <c r="A1946" t="s">
        <v>373</v>
      </c>
      <c r="B1946" t="s">
        <v>374</v>
      </c>
      <c r="C1946" s="1">
        <v>39467</v>
      </c>
      <c r="D1946" t="s">
        <v>94</v>
      </c>
      <c r="E1946" t="s">
        <v>21</v>
      </c>
      <c r="F1946" t="s">
        <v>74</v>
      </c>
      <c r="G1946" t="s">
        <v>39</v>
      </c>
      <c r="H1946" t="s">
        <v>106</v>
      </c>
      <c r="I1946" t="s">
        <v>190</v>
      </c>
      <c r="J1946" t="s">
        <v>223</v>
      </c>
      <c r="K1946" s="2">
        <v>46</v>
      </c>
      <c r="L1946">
        <v>5</v>
      </c>
      <c r="M1946">
        <f t="shared" si="30"/>
        <v>230</v>
      </c>
    </row>
    <row r="1947" spans="1:13">
      <c r="A1947" t="s">
        <v>373</v>
      </c>
      <c r="B1947" t="s">
        <v>374</v>
      </c>
      <c r="C1947" s="1">
        <v>39689</v>
      </c>
      <c r="D1947" t="s">
        <v>98</v>
      </c>
      <c r="E1947" t="s">
        <v>21</v>
      </c>
      <c r="F1947" t="s">
        <v>99</v>
      </c>
      <c r="G1947" t="s">
        <v>17</v>
      </c>
      <c r="H1947" t="s">
        <v>106</v>
      </c>
      <c r="I1947" t="s">
        <v>190</v>
      </c>
      <c r="J1947" t="s">
        <v>223</v>
      </c>
      <c r="K1947" s="2">
        <v>3.6</v>
      </c>
      <c r="L1947">
        <v>10</v>
      </c>
      <c r="M1947">
        <f t="shared" si="30"/>
        <v>36</v>
      </c>
    </row>
    <row r="1948" spans="1:13">
      <c r="A1948" t="s">
        <v>373</v>
      </c>
      <c r="B1948" t="s">
        <v>374</v>
      </c>
      <c r="C1948" s="1">
        <v>39467</v>
      </c>
      <c r="D1948" t="s">
        <v>82</v>
      </c>
      <c r="E1948" t="s">
        <v>21</v>
      </c>
      <c r="F1948" t="s">
        <v>35</v>
      </c>
      <c r="G1948" t="s">
        <v>39</v>
      </c>
      <c r="H1948" t="s">
        <v>106</v>
      </c>
      <c r="I1948" t="s">
        <v>190</v>
      </c>
      <c r="J1948" t="s">
        <v>223</v>
      </c>
      <c r="K1948" s="2">
        <v>12.5</v>
      </c>
      <c r="L1948">
        <v>20</v>
      </c>
      <c r="M1948">
        <f t="shared" si="30"/>
        <v>250</v>
      </c>
    </row>
    <row r="1949" spans="1:13">
      <c r="A1949" t="s">
        <v>373</v>
      </c>
      <c r="B1949" t="s">
        <v>374</v>
      </c>
      <c r="C1949" s="1">
        <v>39987</v>
      </c>
      <c r="D1949" t="s">
        <v>137</v>
      </c>
      <c r="E1949" t="s">
        <v>15</v>
      </c>
      <c r="F1949" t="s">
        <v>76</v>
      </c>
      <c r="G1949" t="s">
        <v>17</v>
      </c>
      <c r="H1949" t="s">
        <v>106</v>
      </c>
      <c r="I1949" t="s">
        <v>190</v>
      </c>
      <c r="J1949" t="s">
        <v>223</v>
      </c>
      <c r="K1949" s="2">
        <v>12.5</v>
      </c>
      <c r="L1949">
        <v>20</v>
      </c>
      <c r="M1949">
        <f t="shared" si="30"/>
        <v>250</v>
      </c>
    </row>
    <row r="1950" spans="1:13">
      <c r="A1950" t="s">
        <v>373</v>
      </c>
      <c r="B1950" t="s">
        <v>374</v>
      </c>
      <c r="C1950" s="1">
        <v>39505</v>
      </c>
      <c r="D1950" t="s">
        <v>14</v>
      </c>
      <c r="E1950" t="s">
        <v>53</v>
      </c>
      <c r="F1950" t="s">
        <v>16</v>
      </c>
      <c r="G1950" t="s">
        <v>39</v>
      </c>
      <c r="H1950" t="s">
        <v>106</v>
      </c>
      <c r="I1950" t="s">
        <v>190</v>
      </c>
      <c r="J1950" t="s">
        <v>223</v>
      </c>
      <c r="K1950" s="2">
        <v>7.45</v>
      </c>
      <c r="L1950">
        <v>10</v>
      </c>
      <c r="M1950">
        <f t="shared" si="30"/>
        <v>74.5</v>
      </c>
    </row>
    <row r="1951" spans="1:13">
      <c r="A1951" t="s">
        <v>373</v>
      </c>
      <c r="B1951" t="s">
        <v>374</v>
      </c>
      <c r="C1951" s="1">
        <v>39987</v>
      </c>
      <c r="D1951" t="s">
        <v>111</v>
      </c>
      <c r="E1951" t="s">
        <v>15</v>
      </c>
      <c r="F1951" t="s">
        <v>37</v>
      </c>
      <c r="G1951" t="s">
        <v>17</v>
      </c>
      <c r="H1951" t="s">
        <v>106</v>
      </c>
      <c r="I1951" t="s">
        <v>190</v>
      </c>
      <c r="J1951" t="s">
        <v>223</v>
      </c>
      <c r="K1951" s="2">
        <v>18</v>
      </c>
      <c r="L1951">
        <v>10</v>
      </c>
      <c r="M1951">
        <f t="shared" si="30"/>
        <v>180</v>
      </c>
    </row>
    <row r="1952" spans="1:13">
      <c r="A1952" t="s">
        <v>373</v>
      </c>
      <c r="B1952" t="s">
        <v>374</v>
      </c>
      <c r="C1952" s="1">
        <v>39505</v>
      </c>
      <c r="D1952" t="s">
        <v>40</v>
      </c>
      <c r="E1952" t="s">
        <v>53</v>
      </c>
      <c r="F1952" t="s">
        <v>41</v>
      </c>
      <c r="G1952" t="s">
        <v>39</v>
      </c>
      <c r="H1952" t="s">
        <v>106</v>
      </c>
      <c r="I1952" t="s">
        <v>190</v>
      </c>
      <c r="J1952" t="s">
        <v>223</v>
      </c>
      <c r="K1952" s="2">
        <v>2.5</v>
      </c>
      <c r="L1952">
        <v>30</v>
      </c>
      <c r="M1952">
        <f t="shared" si="30"/>
        <v>75</v>
      </c>
    </row>
    <row r="1953" spans="1:13">
      <c r="A1953" t="s">
        <v>373</v>
      </c>
      <c r="B1953" t="s">
        <v>374</v>
      </c>
      <c r="C1953" s="1">
        <v>39723</v>
      </c>
      <c r="D1953" t="s">
        <v>96</v>
      </c>
      <c r="E1953" t="s">
        <v>50</v>
      </c>
      <c r="F1953" t="s">
        <v>97</v>
      </c>
      <c r="G1953" t="s">
        <v>17</v>
      </c>
      <c r="H1953" t="s">
        <v>106</v>
      </c>
      <c r="I1953" t="s">
        <v>190</v>
      </c>
      <c r="J1953" t="s">
        <v>223</v>
      </c>
      <c r="K1953" s="2">
        <v>14.4</v>
      </c>
      <c r="L1953">
        <v>30</v>
      </c>
      <c r="M1953">
        <f t="shared" si="30"/>
        <v>432</v>
      </c>
    </row>
    <row r="1954" spans="1:13">
      <c r="A1954" t="s">
        <v>373</v>
      </c>
      <c r="B1954" t="s">
        <v>374</v>
      </c>
      <c r="C1954" s="1">
        <v>39505</v>
      </c>
      <c r="D1954" t="s">
        <v>48</v>
      </c>
      <c r="E1954" t="s">
        <v>53</v>
      </c>
      <c r="F1954" t="s">
        <v>22</v>
      </c>
      <c r="G1954" t="s">
        <v>39</v>
      </c>
      <c r="H1954" t="s">
        <v>106</v>
      </c>
      <c r="I1954" t="s">
        <v>190</v>
      </c>
      <c r="J1954" t="s">
        <v>223</v>
      </c>
      <c r="K1954" s="2">
        <v>39</v>
      </c>
      <c r="L1954">
        <v>10</v>
      </c>
      <c r="M1954">
        <f t="shared" si="30"/>
        <v>390</v>
      </c>
    </row>
    <row r="1955" spans="1:13">
      <c r="A1955" t="s">
        <v>375</v>
      </c>
      <c r="B1955" t="s">
        <v>376</v>
      </c>
      <c r="C1955" s="1">
        <v>40045</v>
      </c>
      <c r="D1955" t="s">
        <v>42</v>
      </c>
      <c r="E1955" t="s">
        <v>50</v>
      </c>
      <c r="F1955" t="s">
        <v>22</v>
      </c>
      <c r="G1955" t="s">
        <v>17</v>
      </c>
      <c r="H1955" t="s">
        <v>158</v>
      </c>
      <c r="I1955" t="s">
        <v>377</v>
      </c>
      <c r="J1955" t="s">
        <v>378</v>
      </c>
      <c r="K1955" s="2">
        <v>62.5</v>
      </c>
      <c r="L1955">
        <v>8</v>
      </c>
      <c r="M1955">
        <f t="shared" si="30"/>
        <v>500</v>
      </c>
    </row>
    <row r="1956" spans="1:13">
      <c r="A1956" t="s">
        <v>375</v>
      </c>
      <c r="B1956" t="s">
        <v>376</v>
      </c>
      <c r="C1956" s="1">
        <v>39461</v>
      </c>
      <c r="D1956" t="s">
        <v>94</v>
      </c>
      <c r="E1956" t="s">
        <v>15</v>
      </c>
      <c r="F1956" t="s">
        <v>74</v>
      </c>
      <c r="G1956" t="s">
        <v>39</v>
      </c>
      <c r="H1956" t="s">
        <v>158</v>
      </c>
      <c r="I1956" t="s">
        <v>377</v>
      </c>
      <c r="J1956" t="s">
        <v>378</v>
      </c>
      <c r="K1956" s="2">
        <v>46</v>
      </c>
      <c r="L1956">
        <v>9</v>
      </c>
      <c r="M1956">
        <f t="shared" si="30"/>
        <v>414</v>
      </c>
    </row>
    <row r="1957" spans="1:13">
      <c r="A1957" t="s">
        <v>375</v>
      </c>
      <c r="B1957" t="s">
        <v>376</v>
      </c>
      <c r="C1957" s="1">
        <v>39504</v>
      </c>
      <c r="D1957" t="s">
        <v>133</v>
      </c>
      <c r="E1957" t="s">
        <v>21</v>
      </c>
      <c r="F1957" t="s">
        <v>134</v>
      </c>
      <c r="G1957" t="s">
        <v>39</v>
      </c>
      <c r="H1957" t="s">
        <v>158</v>
      </c>
      <c r="I1957" t="s">
        <v>377</v>
      </c>
      <c r="J1957" t="s">
        <v>378</v>
      </c>
      <c r="K1957" s="2">
        <v>9.65</v>
      </c>
      <c r="L1957">
        <v>5</v>
      </c>
      <c r="M1957">
        <f t="shared" si="30"/>
        <v>48.25</v>
      </c>
    </row>
    <row r="1958" spans="1:13">
      <c r="A1958" t="s">
        <v>375</v>
      </c>
      <c r="B1958" t="s">
        <v>376</v>
      </c>
      <c r="C1958" s="1">
        <v>39504</v>
      </c>
      <c r="D1958" t="s">
        <v>87</v>
      </c>
      <c r="E1958" t="s">
        <v>21</v>
      </c>
      <c r="F1958" t="s">
        <v>25</v>
      </c>
      <c r="G1958" t="s">
        <v>39</v>
      </c>
      <c r="H1958" t="s">
        <v>158</v>
      </c>
      <c r="I1958" t="s">
        <v>377</v>
      </c>
      <c r="J1958" t="s">
        <v>378</v>
      </c>
      <c r="K1958" s="2">
        <v>30</v>
      </c>
      <c r="L1958">
        <v>12</v>
      </c>
      <c r="M1958">
        <f t="shared" si="30"/>
        <v>360</v>
      </c>
    </row>
    <row r="1959" spans="1:13">
      <c r="A1959" t="s">
        <v>375</v>
      </c>
      <c r="B1959" t="s">
        <v>376</v>
      </c>
      <c r="C1959" s="1">
        <v>39504</v>
      </c>
      <c r="D1959" t="s">
        <v>20</v>
      </c>
      <c r="E1959" t="s">
        <v>21</v>
      </c>
      <c r="F1959" t="s">
        <v>22</v>
      </c>
      <c r="G1959" t="s">
        <v>39</v>
      </c>
      <c r="H1959" t="s">
        <v>158</v>
      </c>
      <c r="I1959" t="s">
        <v>377</v>
      </c>
      <c r="J1959" t="s">
        <v>378</v>
      </c>
      <c r="K1959" s="2">
        <v>17.45</v>
      </c>
      <c r="L1959">
        <v>15</v>
      </c>
      <c r="M1959">
        <f t="shared" si="30"/>
        <v>261.75</v>
      </c>
    </row>
    <row r="1960" spans="1:13">
      <c r="A1960" t="s">
        <v>375</v>
      </c>
      <c r="B1960" t="s">
        <v>376</v>
      </c>
      <c r="C1960" s="1">
        <v>39932</v>
      </c>
      <c r="D1960" t="s">
        <v>32</v>
      </c>
      <c r="E1960" t="s">
        <v>50</v>
      </c>
      <c r="F1960" t="s">
        <v>33</v>
      </c>
      <c r="G1960" t="s">
        <v>17</v>
      </c>
      <c r="H1960" t="s">
        <v>158</v>
      </c>
      <c r="I1960" t="s">
        <v>377</v>
      </c>
      <c r="J1960" t="s">
        <v>378</v>
      </c>
      <c r="K1960" s="2">
        <v>32.799999999999997</v>
      </c>
      <c r="L1960">
        <v>5</v>
      </c>
      <c r="M1960">
        <f t="shared" si="30"/>
        <v>164</v>
      </c>
    </row>
    <row r="1961" spans="1:13">
      <c r="A1961" t="s">
        <v>375</v>
      </c>
      <c r="B1961" t="s">
        <v>376</v>
      </c>
      <c r="C1961" s="1">
        <v>39932</v>
      </c>
      <c r="D1961" t="s">
        <v>98</v>
      </c>
      <c r="E1961" t="s">
        <v>50</v>
      </c>
      <c r="F1961" t="s">
        <v>99</v>
      </c>
      <c r="G1961" t="s">
        <v>17</v>
      </c>
      <c r="H1961" t="s">
        <v>158</v>
      </c>
      <c r="I1961" t="s">
        <v>377</v>
      </c>
      <c r="J1961" t="s">
        <v>378</v>
      </c>
      <c r="K1961" s="2">
        <v>4.5</v>
      </c>
      <c r="L1961">
        <v>8</v>
      </c>
      <c r="M1961">
        <f t="shared" si="30"/>
        <v>36</v>
      </c>
    </row>
    <row r="1962" spans="1:13">
      <c r="A1962" t="s">
        <v>375</v>
      </c>
      <c r="B1962" t="s">
        <v>376</v>
      </c>
      <c r="C1962" s="1">
        <v>39709</v>
      </c>
      <c r="D1962" t="s">
        <v>98</v>
      </c>
      <c r="E1962" t="s">
        <v>21</v>
      </c>
      <c r="F1962" t="s">
        <v>99</v>
      </c>
      <c r="G1962" t="s">
        <v>17</v>
      </c>
      <c r="H1962" t="s">
        <v>158</v>
      </c>
      <c r="I1962" t="s">
        <v>377</v>
      </c>
      <c r="J1962" t="s">
        <v>378</v>
      </c>
      <c r="K1962" s="2">
        <v>3.6</v>
      </c>
      <c r="L1962">
        <v>15</v>
      </c>
      <c r="M1962">
        <f t="shared" si="30"/>
        <v>54</v>
      </c>
    </row>
    <row r="1963" spans="1:13">
      <c r="A1963" t="s">
        <v>375</v>
      </c>
      <c r="B1963" t="s">
        <v>376</v>
      </c>
      <c r="C1963" s="1">
        <v>39709</v>
      </c>
      <c r="D1963" t="s">
        <v>52</v>
      </c>
      <c r="E1963" t="s">
        <v>21</v>
      </c>
      <c r="F1963" t="s">
        <v>54</v>
      </c>
      <c r="G1963" t="s">
        <v>17</v>
      </c>
      <c r="H1963" t="s">
        <v>158</v>
      </c>
      <c r="I1963" t="s">
        <v>377</v>
      </c>
      <c r="J1963" t="s">
        <v>378</v>
      </c>
      <c r="K1963" s="2">
        <v>44</v>
      </c>
      <c r="L1963">
        <v>12</v>
      </c>
      <c r="M1963">
        <f t="shared" si="30"/>
        <v>528</v>
      </c>
    </row>
    <row r="1964" spans="1:13">
      <c r="A1964" t="s">
        <v>375</v>
      </c>
      <c r="B1964" t="s">
        <v>376</v>
      </c>
      <c r="C1964" s="1">
        <v>39461</v>
      </c>
      <c r="D1964" t="s">
        <v>44</v>
      </c>
      <c r="E1964" t="s">
        <v>15</v>
      </c>
      <c r="F1964" t="s">
        <v>45</v>
      </c>
      <c r="G1964" t="s">
        <v>39</v>
      </c>
      <c r="H1964" t="s">
        <v>158</v>
      </c>
      <c r="I1964" t="s">
        <v>377</v>
      </c>
      <c r="J1964" t="s">
        <v>378</v>
      </c>
      <c r="K1964" s="2">
        <v>18</v>
      </c>
      <c r="L1964">
        <v>8</v>
      </c>
      <c r="M1964">
        <f t="shared" si="30"/>
        <v>144</v>
      </c>
    </row>
    <row r="1965" spans="1:13">
      <c r="A1965" t="s">
        <v>375</v>
      </c>
      <c r="B1965" t="s">
        <v>376</v>
      </c>
      <c r="C1965" s="1">
        <v>39461</v>
      </c>
      <c r="D1965" t="s">
        <v>55</v>
      </c>
      <c r="E1965" t="s">
        <v>15</v>
      </c>
      <c r="F1965" t="s">
        <v>56</v>
      </c>
      <c r="G1965" t="s">
        <v>39</v>
      </c>
      <c r="H1965" t="s">
        <v>158</v>
      </c>
      <c r="I1965" t="s">
        <v>377</v>
      </c>
      <c r="J1965" t="s">
        <v>378</v>
      </c>
      <c r="K1965" s="2">
        <v>263.5</v>
      </c>
      <c r="L1965">
        <v>8</v>
      </c>
      <c r="M1965">
        <f t="shared" si="30"/>
        <v>2108</v>
      </c>
    </row>
    <row r="1966" spans="1:13">
      <c r="A1966" t="s">
        <v>375</v>
      </c>
      <c r="B1966" t="s">
        <v>376</v>
      </c>
      <c r="C1966" s="1">
        <v>39709</v>
      </c>
      <c r="D1966" t="s">
        <v>121</v>
      </c>
      <c r="E1966" t="s">
        <v>21</v>
      </c>
      <c r="F1966" t="s">
        <v>41</v>
      </c>
      <c r="G1966" t="s">
        <v>17</v>
      </c>
      <c r="H1966" t="s">
        <v>158</v>
      </c>
      <c r="I1966" t="s">
        <v>377</v>
      </c>
      <c r="J1966" t="s">
        <v>378</v>
      </c>
      <c r="K1966" s="2">
        <v>17.2</v>
      </c>
      <c r="L1966">
        <v>15</v>
      </c>
      <c r="M1966">
        <f t="shared" si="30"/>
        <v>258</v>
      </c>
    </row>
    <row r="1967" spans="1:13">
      <c r="A1967" t="s">
        <v>375</v>
      </c>
      <c r="B1967" t="s">
        <v>376</v>
      </c>
      <c r="C1967" s="1">
        <v>39548</v>
      </c>
      <c r="D1967" t="s">
        <v>49</v>
      </c>
      <c r="E1967" t="s">
        <v>53</v>
      </c>
      <c r="F1967" t="s">
        <v>51</v>
      </c>
      <c r="G1967" t="s">
        <v>39</v>
      </c>
      <c r="H1967" t="s">
        <v>158</v>
      </c>
      <c r="I1967" t="s">
        <v>377</v>
      </c>
      <c r="J1967" t="s">
        <v>378</v>
      </c>
      <c r="K1967" s="2">
        <v>13</v>
      </c>
      <c r="L1967">
        <v>18</v>
      </c>
      <c r="M1967">
        <f t="shared" si="30"/>
        <v>234</v>
      </c>
    </row>
    <row r="1968" spans="1:13">
      <c r="A1968" t="s">
        <v>375</v>
      </c>
      <c r="B1968" t="s">
        <v>376</v>
      </c>
      <c r="C1968" s="1">
        <v>39548</v>
      </c>
      <c r="D1968" t="s">
        <v>83</v>
      </c>
      <c r="E1968" t="s">
        <v>53</v>
      </c>
      <c r="F1968" t="s">
        <v>84</v>
      </c>
      <c r="G1968" t="s">
        <v>39</v>
      </c>
      <c r="H1968" t="s">
        <v>158</v>
      </c>
      <c r="I1968" t="s">
        <v>377</v>
      </c>
      <c r="J1968" t="s">
        <v>378</v>
      </c>
      <c r="K1968" s="2">
        <v>25.89</v>
      </c>
      <c r="L1968">
        <v>15</v>
      </c>
      <c r="M1968">
        <f t="shared" si="30"/>
        <v>388.35</v>
      </c>
    </row>
    <row r="1969" spans="1:13">
      <c r="A1969" t="s">
        <v>375</v>
      </c>
      <c r="B1969" t="s">
        <v>376</v>
      </c>
      <c r="C1969" s="1">
        <v>39461</v>
      </c>
      <c r="D1969" t="s">
        <v>64</v>
      </c>
      <c r="E1969" t="s">
        <v>15</v>
      </c>
      <c r="F1969" t="s">
        <v>35</v>
      </c>
      <c r="G1969" t="s">
        <v>39</v>
      </c>
      <c r="H1969" t="s">
        <v>158</v>
      </c>
      <c r="I1969" t="s">
        <v>377</v>
      </c>
      <c r="J1969" t="s">
        <v>378</v>
      </c>
      <c r="K1969" s="2">
        <v>9.1999999999999993</v>
      </c>
      <c r="L1969">
        <v>2</v>
      </c>
      <c r="M1969">
        <f t="shared" si="30"/>
        <v>18.399999999999999</v>
      </c>
    </row>
    <row r="1970" spans="1:13">
      <c r="A1970" t="s">
        <v>375</v>
      </c>
      <c r="B1970" t="s">
        <v>376</v>
      </c>
      <c r="C1970" s="1">
        <v>39709</v>
      </c>
      <c r="D1970" t="s">
        <v>77</v>
      </c>
      <c r="E1970" t="s">
        <v>21</v>
      </c>
      <c r="F1970" t="s">
        <v>51</v>
      </c>
      <c r="G1970" t="s">
        <v>17</v>
      </c>
      <c r="H1970" t="s">
        <v>158</v>
      </c>
      <c r="I1970" t="s">
        <v>377</v>
      </c>
      <c r="J1970" t="s">
        <v>378</v>
      </c>
      <c r="K1970" s="2">
        <v>36.4</v>
      </c>
      <c r="L1970">
        <v>6</v>
      </c>
      <c r="M1970">
        <f t="shared" si="30"/>
        <v>218.39999999999998</v>
      </c>
    </row>
    <row r="1971" spans="1:13">
      <c r="A1971" t="s">
        <v>379</v>
      </c>
      <c r="B1971" t="s">
        <v>380</v>
      </c>
      <c r="C1971" s="1">
        <v>39727</v>
      </c>
      <c r="D1971" t="s">
        <v>71</v>
      </c>
      <c r="E1971" t="s">
        <v>24</v>
      </c>
      <c r="F1971" t="s">
        <v>51</v>
      </c>
      <c r="G1971" t="s">
        <v>17</v>
      </c>
      <c r="H1971" t="s">
        <v>92</v>
      </c>
      <c r="J1971" t="s">
        <v>336</v>
      </c>
      <c r="K1971" s="2">
        <v>6.2</v>
      </c>
      <c r="L1971">
        <v>6</v>
      </c>
      <c r="M1971">
        <f t="shared" si="30"/>
        <v>37.200000000000003</v>
      </c>
    </row>
    <row r="1972" spans="1:13">
      <c r="A1972" t="s">
        <v>379</v>
      </c>
      <c r="B1972" t="s">
        <v>380</v>
      </c>
      <c r="C1972" s="1">
        <v>39709</v>
      </c>
      <c r="D1972" t="s">
        <v>59</v>
      </c>
      <c r="E1972" t="s">
        <v>103</v>
      </c>
      <c r="F1972" t="s">
        <v>45</v>
      </c>
      <c r="G1972" t="s">
        <v>17</v>
      </c>
      <c r="H1972" t="s">
        <v>92</v>
      </c>
      <c r="J1972" t="s">
        <v>336</v>
      </c>
      <c r="K1972" s="2">
        <v>11.2</v>
      </c>
      <c r="L1972">
        <v>10</v>
      </c>
      <c r="M1972">
        <f t="shared" si="30"/>
        <v>112</v>
      </c>
    </row>
    <row r="1973" spans="1:13">
      <c r="A1973" t="s">
        <v>379</v>
      </c>
      <c r="B1973" t="s">
        <v>380</v>
      </c>
      <c r="C1973" s="1">
        <v>39924</v>
      </c>
      <c r="D1973" t="s">
        <v>70</v>
      </c>
      <c r="E1973" t="s">
        <v>50</v>
      </c>
      <c r="F1973" t="s">
        <v>61</v>
      </c>
      <c r="G1973" t="s">
        <v>17</v>
      </c>
      <c r="H1973" t="s">
        <v>92</v>
      </c>
      <c r="J1973" t="s">
        <v>336</v>
      </c>
      <c r="K1973" s="2">
        <v>12</v>
      </c>
      <c r="L1973">
        <v>9</v>
      </c>
      <c r="M1973">
        <f t="shared" si="30"/>
        <v>108</v>
      </c>
    </row>
    <row r="1974" spans="1:13">
      <c r="A1974" t="s">
        <v>379</v>
      </c>
      <c r="B1974" t="s">
        <v>380</v>
      </c>
      <c r="C1974" s="1">
        <v>39727</v>
      </c>
      <c r="D1974" t="s">
        <v>185</v>
      </c>
      <c r="E1974" t="s">
        <v>24</v>
      </c>
      <c r="F1974" t="s">
        <v>134</v>
      </c>
      <c r="G1974" t="s">
        <v>17</v>
      </c>
      <c r="H1974" t="s">
        <v>92</v>
      </c>
      <c r="J1974" t="s">
        <v>336</v>
      </c>
      <c r="K1974" s="2">
        <v>14.7</v>
      </c>
      <c r="L1974">
        <v>4</v>
      </c>
      <c r="M1974">
        <f t="shared" si="30"/>
        <v>58.8</v>
      </c>
    </row>
    <row r="1975" spans="1:13">
      <c r="A1975" t="s">
        <v>379</v>
      </c>
      <c r="B1975" t="s">
        <v>380</v>
      </c>
      <c r="C1975" s="1">
        <v>39727</v>
      </c>
      <c r="D1975" t="s">
        <v>109</v>
      </c>
      <c r="E1975" t="s">
        <v>24</v>
      </c>
      <c r="F1975" t="s">
        <v>56</v>
      </c>
      <c r="G1975" t="s">
        <v>17</v>
      </c>
      <c r="H1975" t="s">
        <v>92</v>
      </c>
      <c r="J1975" t="s">
        <v>336</v>
      </c>
      <c r="K1975" s="2">
        <v>14.4</v>
      </c>
      <c r="L1975">
        <v>50</v>
      </c>
      <c r="M1975">
        <f t="shared" si="30"/>
        <v>720</v>
      </c>
    </row>
    <row r="1976" spans="1:13">
      <c r="A1976" t="s">
        <v>379</v>
      </c>
      <c r="B1976" t="s">
        <v>380</v>
      </c>
      <c r="C1976" s="1">
        <v>40054</v>
      </c>
      <c r="D1976" t="s">
        <v>14</v>
      </c>
      <c r="E1976" t="s">
        <v>66</v>
      </c>
      <c r="F1976" t="s">
        <v>16</v>
      </c>
      <c r="G1976" t="s">
        <v>17</v>
      </c>
      <c r="H1976" t="s">
        <v>92</v>
      </c>
      <c r="J1976" t="s">
        <v>336</v>
      </c>
      <c r="K1976" s="2">
        <v>7.45</v>
      </c>
      <c r="L1976">
        <v>30</v>
      </c>
      <c r="M1976">
        <f t="shared" si="30"/>
        <v>223.5</v>
      </c>
    </row>
    <row r="1977" spans="1:13">
      <c r="A1977" t="s">
        <v>379</v>
      </c>
      <c r="B1977" t="s">
        <v>380</v>
      </c>
      <c r="C1977" s="1">
        <v>40054</v>
      </c>
      <c r="D1977" t="s">
        <v>32</v>
      </c>
      <c r="E1977" t="s">
        <v>66</v>
      </c>
      <c r="F1977" t="s">
        <v>33</v>
      </c>
      <c r="G1977" t="s">
        <v>17</v>
      </c>
      <c r="H1977" t="s">
        <v>92</v>
      </c>
      <c r="J1977" t="s">
        <v>336</v>
      </c>
      <c r="K1977" s="2">
        <v>32.799999999999997</v>
      </c>
      <c r="L1977">
        <v>25</v>
      </c>
      <c r="M1977">
        <f t="shared" si="30"/>
        <v>819.99999999999989</v>
      </c>
    </row>
    <row r="1978" spans="1:13">
      <c r="A1978" t="s">
        <v>379</v>
      </c>
      <c r="B1978" t="s">
        <v>380</v>
      </c>
      <c r="C1978" s="1">
        <v>40054</v>
      </c>
      <c r="D1978" t="s">
        <v>83</v>
      </c>
      <c r="E1978" t="s">
        <v>66</v>
      </c>
      <c r="F1978" t="s">
        <v>84</v>
      </c>
      <c r="G1978" t="s">
        <v>17</v>
      </c>
      <c r="H1978" t="s">
        <v>92</v>
      </c>
      <c r="J1978" t="s">
        <v>336</v>
      </c>
      <c r="K1978" s="2">
        <v>25.89</v>
      </c>
      <c r="L1978">
        <v>30</v>
      </c>
      <c r="M1978">
        <f t="shared" si="30"/>
        <v>776.7</v>
      </c>
    </row>
    <row r="1979" spans="1:13">
      <c r="A1979" t="s">
        <v>379</v>
      </c>
      <c r="B1979" t="s">
        <v>380</v>
      </c>
      <c r="C1979" s="1">
        <v>39709</v>
      </c>
      <c r="D1979" t="s">
        <v>98</v>
      </c>
      <c r="E1979" t="s">
        <v>103</v>
      </c>
      <c r="F1979" t="s">
        <v>99</v>
      </c>
      <c r="G1979" t="s">
        <v>17</v>
      </c>
      <c r="H1979" t="s">
        <v>92</v>
      </c>
      <c r="J1979" t="s">
        <v>336</v>
      </c>
      <c r="K1979" s="2">
        <v>3.6</v>
      </c>
      <c r="L1979">
        <v>15</v>
      </c>
      <c r="M1979">
        <f t="shared" si="30"/>
        <v>54</v>
      </c>
    </row>
    <row r="1980" spans="1:13">
      <c r="A1980" t="s">
        <v>379</v>
      </c>
      <c r="B1980" t="s">
        <v>380</v>
      </c>
      <c r="C1980" s="1">
        <v>39827</v>
      </c>
      <c r="D1980" t="s">
        <v>64</v>
      </c>
      <c r="E1980" t="s">
        <v>53</v>
      </c>
      <c r="F1980" t="s">
        <v>35</v>
      </c>
      <c r="G1980" t="s">
        <v>17</v>
      </c>
      <c r="H1980" t="s">
        <v>92</v>
      </c>
      <c r="J1980" t="s">
        <v>336</v>
      </c>
      <c r="K1980" s="2">
        <v>7.3</v>
      </c>
      <c r="L1980">
        <v>18</v>
      </c>
      <c r="M1980">
        <f t="shared" si="30"/>
        <v>131.4</v>
      </c>
    </row>
    <row r="1981" spans="1:13">
      <c r="A1981" t="s">
        <v>379</v>
      </c>
      <c r="B1981" t="s">
        <v>380</v>
      </c>
      <c r="C1981" s="1">
        <v>39727</v>
      </c>
      <c r="D1981" t="s">
        <v>122</v>
      </c>
      <c r="E1981" t="s">
        <v>24</v>
      </c>
      <c r="F1981" t="s">
        <v>31</v>
      </c>
      <c r="G1981" t="s">
        <v>17</v>
      </c>
      <c r="H1981" t="s">
        <v>92</v>
      </c>
      <c r="J1981" t="s">
        <v>336</v>
      </c>
      <c r="K1981" s="2">
        <v>11.2</v>
      </c>
      <c r="L1981">
        <v>10</v>
      </c>
      <c r="M1981">
        <f t="shared" si="30"/>
        <v>112</v>
      </c>
    </row>
    <row r="1982" spans="1:13">
      <c r="A1982" t="s">
        <v>379</v>
      </c>
      <c r="B1982" t="s">
        <v>380</v>
      </c>
      <c r="C1982" s="1">
        <v>39990</v>
      </c>
      <c r="D1982" t="s">
        <v>71</v>
      </c>
      <c r="E1982" t="s">
        <v>15</v>
      </c>
      <c r="F1982" t="s">
        <v>51</v>
      </c>
      <c r="G1982" t="s">
        <v>17</v>
      </c>
      <c r="H1982" t="s">
        <v>92</v>
      </c>
      <c r="J1982" t="s">
        <v>336</v>
      </c>
      <c r="K1982" s="2">
        <v>7.75</v>
      </c>
      <c r="L1982">
        <v>50</v>
      </c>
      <c r="M1982">
        <f t="shared" si="30"/>
        <v>387.5</v>
      </c>
    </row>
    <row r="1983" spans="1:13">
      <c r="A1983" t="s">
        <v>379</v>
      </c>
      <c r="B1983" t="s">
        <v>380</v>
      </c>
      <c r="C1983" s="1">
        <v>39924</v>
      </c>
      <c r="D1983" t="s">
        <v>170</v>
      </c>
      <c r="E1983" t="s">
        <v>50</v>
      </c>
      <c r="F1983" t="s">
        <v>101</v>
      </c>
      <c r="G1983" t="s">
        <v>17</v>
      </c>
      <c r="H1983" t="s">
        <v>92</v>
      </c>
      <c r="J1983" t="s">
        <v>336</v>
      </c>
      <c r="K1983" s="2">
        <v>9.5</v>
      </c>
      <c r="L1983">
        <v>6</v>
      </c>
      <c r="M1983">
        <f t="shared" si="30"/>
        <v>57</v>
      </c>
    </row>
    <row r="1984" spans="1:13">
      <c r="A1984" t="s">
        <v>379</v>
      </c>
      <c r="B1984" t="s">
        <v>380</v>
      </c>
      <c r="C1984" s="1">
        <v>39924</v>
      </c>
      <c r="D1984" t="s">
        <v>98</v>
      </c>
      <c r="E1984" t="s">
        <v>50</v>
      </c>
      <c r="F1984" t="s">
        <v>99</v>
      </c>
      <c r="G1984" t="s">
        <v>17</v>
      </c>
      <c r="H1984" t="s">
        <v>92</v>
      </c>
      <c r="J1984" t="s">
        <v>336</v>
      </c>
      <c r="K1984" s="2">
        <v>4.5</v>
      </c>
      <c r="L1984">
        <v>10</v>
      </c>
      <c r="M1984">
        <f t="shared" si="30"/>
        <v>45</v>
      </c>
    </row>
    <row r="1985" spans="1:13">
      <c r="A1985" t="s">
        <v>379</v>
      </c>
      <c r="B1985" t="s">
        <v>380</v>
      </c>
      <c r="C1985" s="1">
        <v>39827</v>
      </c>
      <c r="D1985" t="s">
        <v>40</v>
      </c>
      <c r="E1985" t="s">
        <v>53</v>
      </c>
      <c r="F1985" t="s">
        <v>41</v>
      </c>
      <c r="G1985" t="s">
        <v>17</v>
      </c>
      <c r="H1985" t="s">
        <v>92</v>
      </c>
      <c r="J1985" t="s">
        <v>336</v>
      </c>
      <c r="K1985" s="2">
        <v>2</v>
      </c>
      <c r="L1985">
        <v>50</v>
      </c>
      <c r="M1985">
        <f t="shared" si="30"/>
        <v>100</v>
      </c>
    </row>
    <row r="1986" spans="1:13">
      <c r="A1986" t="s">
        <v>379</v>
      </c>
      <c r="B1986" t="s">
        <v>380</v>
      </c>
      <c r="C1986" s="1">
        <v>40117</v>
      </c>
      <c r="D1986" t="s">
        <v>148</v>
      </c>
      <c r="E1986" t="s">
        <v>24</v>
      </c>
      <c r="F1986" t="s">
        <v>16</v>
      </c>
      <c r="G1986" t="s">
        <v>17</v>
      </c>
      <c r="H1986" t="s">
        <v>92</v>
      </c>
      <c r="J1986" t="s">
        <v>336</v>
      </c>
      <c r="K1986" s="2">
        <v>24</v>
      </c>
      <c r="L1986">
        <v>6</v>
      </c>
      <c r="M1986">
        <f t="shared" si="30"/>
        <v>144</v>
      </c>
    </row>
    <row r="1987" spans="1:13">
      <c r="A1987" t="s">
        <v>379</v>
      </c>
      <c r="B1987" t="s">
        <v>380</v>
      </c>
      <c r="C1987" s="1">
        <v>40117</v>
      </c>
      <c r="D1987" t="s">
        <v>120</v>
      </c>
      <c r="E1987" t="s">
        <v>24</v>
      </c>
      <c r="F1987" t="s">
        <v>33</v>
      </c>
      <c r="G1987" t="s">
        <v>17</v>
      </c>
      <c r="H1987" t="s">
        <v>92</v>
      </c>
      <c r="J1987" t="s">
        <v>336</v>
      </c>
      <c r="K1987" s="2">
        <v>7</v>
      </c>
      <c r="L1987">
        <v>4</v>
      </c>
      <c r="M1987">
        <f t="shared" ref="M1987:M2050" si="31">K1987*L1987</f>
        <v>28</v>
      </c>
    </row>
    <row r="1988" spans="1:13">
      <c r="A1988" t="s">
        <v>379</v>
      </c>
      <c r="B1988" t="s">
        <v>380</v>
      </c>
      <c r="C1988" s="1">
        <v>40117</v>
      </c>
      <c r="D1988" t="s">
        <v>133</v>
      </c>
      <c r="E1988" t="s">
        <v>24</v>
      </c>
      <c r="F1988" t="s">
        <v>134</v>
      </c>
      <c r="G1988" t="s">
        <v>17</v>
      </c>
      <c r="H1988" t="s">
        <v>92</v>
      </c>
      <c r="J1988" t="s">
        <v>336</v>
      </c>
      <c r="K1988" s="2">
        <v>9.65</v>
      </c>
      <c r="L1988">
        <v>12</v>
      </c>
      <c r="M1988">
        <f t="shared" si="31"/>
        <v>115.80000000000001</v>
      </c>
    </row>
    <row r="1989" spans="1:13">
      <c r="A1989" t="s">
        <v>379</v>
      </c>
      <c r="B1989" t="s">
        <v>380</v>
      </c>
      <c r="C1989" s="1">
        <v>39924</v>
      </c>
      <c r="D1989" t="s">
        <v>86</v>
      </c>
      <c r="E1989" t="s">
        <v>50</v>
      </c>
      <c r="F1989" t="s">
        <v>54</v>
      </c>
      <c r="G1989" t="s">
        <v>17</v>
      </c>
      <c r="H1989" t="s">
        <v>92</v>
      </c>
      <c r="J1989" t="s">
        <v>336</v>
      </c>
      <c r="K1989" s="2">
        <v>34</v>
      </c>
      <c r="L1989">
        <v>12</v>
      </c>
      <c r="M1989">
        <f t="shared" si="31"/>
        <v>408</v>
      </c>
    </row>
    <row r="1990" spans="1:13">
      <c r="A1990" t="s">
        <v>381</v>
      </c>
      <c r="B1990" t="s">
        <v>382</v>
      </c>
      <c r="C1990" s="1">
        <v>39547</v>
      </c>
      <c r="D1990" t="s">
        <v>68</v>
      </c>
      <c r="E1990" t="s">
        <v>15</v>
      </c>
      <c r="F1990" t="s">
        <v>69</v>
      </c>
      <c r="G1990" t="s">
        <v>39</v>
      </c>
      <c r="H1990" t="s">
        <v>141</v>
      </c>
      <c r="J1990" t="s">
        <v>383</v>
      </c>
      <c r="K1990" s="2">
        <v>13.25</v>
      </c>
      <c r="L1990">
        <v>40</v>
      </c>
      <c r="M1990">
        <f t="shared" si="31"/>
        <v>530</v>
      </c>
    </row>
    <row r="1991" spans="1:13">
      <c r="A1991" t="s">
        <v>381</v>
      </c>
      <c r="B1991" t="s">
        <v>382</v>
      </c>
      <c r="C1991" s="1">
        <v>40099</v>
      </c>
      <c r="D1991" t="s">
        <v>96</v>
      </c>
      <c r="E1991" t="s">
        <v>24</v>
      </c>
      <c r="F1991" t="s">
        <v>97</v>
      </c>
      <c r="G1991" t="s">
        <v>17</v>
      </c>
      <c r="H1991" t="s">
        <v>141</v>
      </c>
      <c r="J1991" t="s">
        <v>383</v>
      </c>
      <c r="K1991" s="2">
        <v>18</v>
      </c>
      <c r="L1991">
        <v>15</v>
      </c>
      <c r="M1991">
        <f t="shared" si="31"/>
        <v>270</v>
      </c>
    </row>
    <row r="1992" spans="1:13">
      <c r="A1992" t="s">
        <v>381</v>
      </c>
      <c r="B1992" t="s">
        <v>382</v>
      </c>
      <c r="C1992" s="1">
        <v>40099</v>
      </c>
      <c r="D1992" t="s">
        <v>151</v>
      </c>
      <c r="E1992" t="s">
        <v>24</v>
      </c>
      <c r="F1992" t="s">
        <v>37</v>
      </c>
      <c r="G1992" t="s">
        <v>17</v>
      </c>
      <c r="H1992" t="s">
        <v>141</v>
      </c>
      <c r="J1992" t="s">
        <v>383</v>
      </c>
      <c r="K1992" s="2">
        <v>10</v>
      </c>
      <c r="L1992">
        <v>6</v>
      </c>
      <c r="M1992">
        <f t="shared" si="31"/>
        <v>60</v>
      </c>
    </row>
    <row r="1993" spans="1:13">
      <c r="A1993" t="s">
        <v>381</v>
      </c>
      <c r="B1993" t="s">
        <v>382</v>
      </c>
      <c r="C1993" s="1">
        <v>39523</v>
      </c>
      <c r="D1993" t="s">
        <v>155</v>
      </c>
      <c r="E1993" t="s">
        <v>21</v>
      </c>
      <c r="F1993" t="s">
        <v>25</v>
      </c>
      <c r="G1993" t="s">
        <v>39</v>
      </c>
      <c r="H1993" t="s">
        <v>141</v>
      </c>
      <c r="J1993" t="s">
        <v>383</v>
      </c>
      <c r="K1993" s="2">
        <v>25</v>
      </c>
      <c r="L1993">
        <v>16</v>
      </c>
      <c r="M1993">
        <f t="shared" si="31"/>
        <v>400</v>
      </c>
    </row>
    <row r="1994" spans="1:13">
      <c r="A1994" t="s">
        <v>381</v>
      </c>
      <c r="B1994" t="s">
        <v>382</v>
      </c>
      <c r="C1994" s="1">
        <v>40050</v>
      </c>
      <c r="D1994" t="s">
        <v>77</v>
      </c>
      <c r="E1994" t="s">
        <v>89</v>
      </c>
      <c r="F1994" t="s">
        <v>51</v>
      </c>
      <c r="G1994" t="s">
        <v>17</v>
      </c>
      <c r="H1994" t="s">
        <v>141</v>
      </c>
      <c r="J1994" t="s">
        <v>383</v>
      </c>
      <c r="K1994" s="2">
        <v>45.6</v>
      </c>
      <c r="L1994">
        <v>15</v>
      </c>
      <c r="M1994">
        <f t="shared" si="31"/>
        <v>684</v>
      </c>
    </row>
    <row r="1995" spans="1:13">
      <c r="A1995" t="s">
        <v>381</v>
      </c>
      <c r="B1995" t="s">
        <v>382</v>
      </c>
      <c r="C1995" s="1">
        <v>40050</v>
      </c>
      <c r="D1995" t="s">
        <v>109</v>
      </c>
      <c r="E1995" t="s">
        <v>89</v>
      </c>
      <c r="F1995" t="s">
        <v>56</v>
      </c>
      <c r="G1995" t="s">
        <v>17</v>
      </c>
      <c r="H1995" t="s">
        <v>141</v>
      </c>
      <c r="J1995" t="s">
        <v>383</v>
      </c>
      <c r="K1995" s="2">
        <v>18</v>
      </c>
      <c r="L1995">
        <v>21</v>
      </c>
      <c r="M1995">
        <f t="shared" si="31"/>
        <v>378</v>
      </c>
    </row>
    <row r="1996" spans="1:13">
      <c r="A1996" t="s">
        <v>381</v>
      </c>
      <c r="B1996" t="s">
        <v>382</v>
      </c>
      <c r="C1996" s="1">
        <v>40050</v>
      </c>
      <c r="D1996" t="s">
        <v>70</v>
      </c>
      <c r="E1996" t="s">
        <v>89</v>
      </c>
      <c r="F1996" t="s">
        <v>61</v>
      </c>
      <c r="G1996" t="s">
        <v>17</v>
      </c>
      <c r="H1996" t="s">
        <v>141</v>
      </c>
      <c r="J1996" t="s">
        <v>383</v>
      </c>
      <c r="K1996" s="2">
        <v>12</v>
      </c>
      <c r="L1996">
        <v>2</v>
      </c>
      <c r="M1996">
        <f t="shared" si="31"/>
        <v>24</v>
      </c>
    </row>
    <row r="1997" spans="1:13">
      <c r="A1997" t="s">
        <v>381</v>
      </c>
      <c r="B1997" t="s">
        <v>382</v>
      </c>
      <c r="C1997" s="1">
        <v>39547</v>
      </c>
      <c r="D1997" t="s">
        <v>121</v>
      </c>
      <c r="E1997" t="s">
        <v>15</v>
      </c>
      <c r="F1997" t="s">
        <v>41</v>
      </c>
      <c r="G1997" t="s">
        <v>39</v>
      </c>
      <c r="H1997" t="s">
        <v>141</v>
      </c>
      <c r="J1997" t="s">
        <v>383</v>
      </c>
      <c r="K1997" s="2">
        <v>21.5</v>
      </c>
      <c r="L1997">
        <v>20</v>
      </c>
      <c r="M1997">
        <f t="shared" si="31"/>
        <v>430</v>
      </c>
    </row>
    <row r="1998" spans="1:13">
      <c r="A1998" t="s">
        <v>381</v>
      </c>
      <c r="B1998" t="s">
        <v>382</v>
      </c>
      <c r="C1998" s="1">
        <v>40089</v>
      </c>
      <c r="D1998" t="s">
        <v>72</v>
      </c>
      <c r="E1998" t="s">
        <v>24</v>
      </c>
      <c r="F1998" t="s">
        <v>22</v>
      </c>
      <c r="G1998" t="s">
        <v>17</v>
      </c>
      <c r="H1998" t="s">
        <v>141</v>
      </c>
      <c r="J1998" t="s">
        <v>383</v>
      </c>
      <c r="K1998" s="2">
        <v>43.9</v>
      </c>
      <c r="L1998">
        <v>20</v>
      </c>
      <c r="M1998">
        <f t="shared" si="31"/>
        <v>878</v>
      </c>
    </row>
    <row r="1999" spans="1:13">
      <c r="A1999" t="s">
        <v>381</v>
      </c>
      <c r="B1999" t="s">
        <v>382</v>
      </c>
      <c r="C1999" s="1">
        <v>39462</v>
      </c>
      <c r="D1999" t="s">
        <v>52</v>
      </c>
      <c r="E1999" t="s">
        <v>21</v>
      </c>
      <c r="F1999" t="s">
        <v>54</v>
      </c>
      <c r="G1999" t="s">
        <v>39</v>
      </c>
      <c r="H1999" t="s">
        <v>141</v>
      </c>
      <c r="J1999" t="s">
        <v>383</v>
      </c>
      <c r="K1999" s="2">
        <v>55</v>
      </c>
      <c r="L1999">
        <v>15</v>
      </c>
      <c r="M1999">
        <f t="shared" si="31"/>
        <v>825</v>
      </c>
    </row>
    <row r="2000" spans="1:13">
      <c r="A2000" t="s">
        <v>381</v>
      </c>
      <c r="B2000" t="s">
        <v>382</v>
      </c>
      <c r="C2000" s="1">
        <v>39462</v>
      </c>
      <c r="D2000" t="s">
        <v>49</v>
      </c>
      <c r="E2000" t="s">
        <v>21</v>
      </c>
      <c r="F2000" t="s">
        <v>51</v>
      </c>
      <c r="G2000" t="s">
        <v>39</v>
      </c>
      <c r="H2000" t="s">
        <v>141</v>
      </c>
      <c r="J2000" t="s">
        <v>383</v>
      </c>
      <c r="K2000" s="2">
        <v>13</v>
      </c>
      <c r="L2000">
        <v>2</v>
      </c>
      <c r="M2000">
        <f t="shared" si="31"/>
        <v>26</v>
      </c>
    </row>
    <row r="2001" spans="1:13">
      <c r="A2001" t="s">
        <v>381</v>
      </c>
      <c r="B2001" t="s">
        <v>382</v>
      </c>
      <c r="C2001" s="1">
        <v>39523</v>
      </c>
      <c r="D2001" t="s">
        <v>77</v>
      </c>
      <c r="E2001" t="s">
        <v>21</v>
      </c>
      <c r="F2001" t="s">
        <v>51</v>
      </c>
      <c r="G2001" t="s">
        <v>39</v>
      </c>
      <c r="H2001" t="s">
        <v>141</v>
      </c>
      <c r="J2001" t="s">
        <v>383</v>
      </c>
      <c r="K2001" s="2">
        <v>45.6</v>
      </c>
      <c r="L2001">
        <v>2</v>
      </c>
      <c r="M2001">
        <f t="shared" si="31"/>
        <v>91.2</v>
      </c>
    </row>
    <row r="2002" spans="1:13">
      <c r="A2002" t="s">
        <v>384</v>
      </c>
      <c r="B2002" t="s">
        <v>385</v>
      </c>
      <c r="C2002" s="1">
        <v>40082</v>
      </c>
      <c r="D2002" t="s">
        <v>75</v>
      </c>
      <c r="E2002" t="s">
        <v>53</v>
      </c>
      <c r="F2002" t="s">
        <v>76</v>
      </c>
      <c r="G2002" t="s">
        <v>39</v>
      </c>
      <c r="H2002" t="s">
        <v>141</v>
      </c>
      <c r="J2002" t="s">
        <v>386</v>
      </c>
      <c r="K2002" s="2">
        <v>34.799999999999997</v>
      </c>
      <c r="L2002">
        <v>10</v>
      </c>
      <c r="M2002">
        <f t="shared" si="31"/>
        <v>348</v>
      </c>
    </row>
    <row r="2003" spans="1:13">
      <c r="A2003" t="s">
        <v>384</v>
      </c>
      <c r="B2003" t="s">
        <v>385</v>
      </c>
      <c r="C2003" s="1">
        <v>40106</v>
      </c>
      <c r="D2003" t="s">
        <v>96</v>
      </c>
      <c r="E2003" t="s">
        <v>24</v>
      </c>
      <c r="F2003" t="s">
        <v>97</v>
      </c>
      <c r="G2003" t="s">
        <v>39</v>
      </c>
      <c r="H2003" t="s">
        <v>141</v>
      </c>
      <c r="J2003" t="s">
        <v>386</v>
      </c>
      <c r="K2003" s="2">
        <v>18</v>
      </c>
      <c r="L2003">
        <v>10</v>
      </c>
      <c r="M2003">
        <f t="shared" si="31"/>
        <v>180</v>
      </c>
    </row>
    <row r="2004" spans="1:13">
      <c r="A2004" t="s">
        <v>384</v>
      </c>
      <c r="B2004" t="s">
        <v>385</v>
      </c>
      <c r="C2004" s="1">
        <v>39722</v>
      </c>
      <c r="D2004" t="s">
        <v>96</v>
      </c>
      <c r="E2004" t="s">
        <v>67</v>
      </c>
      <c r="F2004" t="s">
        <v>97</v>
      </c>
      <c r="G2004" t="s">
        <v>17</v>
      </c>
      <c r="H2004" t="s">
        <v>141</v>
      </c>
      <c r="J2004" t="s">
        <v>386</v>
      </c>
      <c r="K2004" s="2">
        <v>14.4</v>
      </c>
      <c r="L2004">
        <v>6</v>
      </c>
      <c r="M2004">
        <f t="shared" si="31"/>
        <v>86.4</v>
      </c>
    </row>
    <row r="2005" spans="1:13">
      <c r="A2005" t="s">
        <v>384</v>
      </c>
      <c r="B2005" t="s">
        <v>385</v>
      </c>
      <c r="C2005" s="1">
        <v>39513</v>
      </c>
      <c r="D2005" t="s">
        <v>28</v>
      </c>
      <c r="E2005" t="s">
        <v>89</v>
      </c>
      <c r="F2005" t="s">
        <v>29</v>
      </c>
      <c r="G2005" t="s">
        <v>39</v>
      </c>
      <c r="H2005" t="s">
        <v>141</v>
      </c>
      <c r="J2005" t="s">
        <v>386</v>
      </c>
      <c r="K2005" s="2">
        <v>28.5</v>
      </c>
      <c r="L2005">
        <v>30</v>
      </c>
      <c r="M2005">
        <f t="shared" si="31"/>
        <v>855</v>
      </c>
    </row>
    <row r="2006" spans="1:13">
      <c r="A2006" t="s">
        <v>384</v>
      </c>
      <c r="B2006" t="s">
        <v>385</v>
      </c>
      <c r="C2006" s="1">
        <v>40106</v>
      </c>
      <c r="D2006" t="s">
        <v>62</v>
      </c>
      <c r="E2006" t="s">
        <v>24</v>
      </c>
      <c r="F2006" t="s">
        <v>63</v>
      </c>
      <c r="G2006" t="s">
        <v>39</v>
      </c>
      <c r="H2006" t="s">
        <v>141</v>
      </c>
      <c r="J2006" t="s">
        <v>386</v>
      </c>
      <c r="K2006" s="2">
        <v>38</v>
      </c>
      <c r="L2006">
        <v>15</v>
      </c>
      <c r="M2006">
        <f t="shared" si="31"/>
        <v>570</v>
      </c>
    </row>
    <row r="2007" spans="1:13">
      <c r="A2007" t="s">
        <v>384</v>
      </c>
      <c r="B2007" t="s">
        <v>385</v>
      </c>
      <c r="C2007" s="1">
        <v>40106</v>
      </c>
      <c r="D2007" t="s">
        <v>52</v>
      </c>
      <c r="E2007" t="s">
        <v>24</v>
      </c>
      <c r="F2007" t="s">
        <v>54</v>
      </c>
      <c r="G2007" t="s">
        <v>39</v>
      </c>
      <c r="H2007" t="s">
        <v>141</v>
      </c>
      <c r="J2007" t="s">
        <v>386</v>
      </c>
      <c r="K2007" s="2">
        <v>55</v>
      </c>
      <c r="L2007">
        <v>6</v>
      </c>
      <c r="M2007">
        <f t="shared" si="31"/>
        <v>330</v>
      </c>
    </row>
    <row r="2008" spans="1:13">
      <c r="A2008" t="s">
        <v>384</v>
      </c>
      <c r="B2008" t="s">
        <v>385</v>
      </c>
      <c r="C2008" s="1">
        <v>39722</v>
      </c>
      <c r="D2008" t="s">
        <v>133</v>
      </c>
      <c r="E2008" t="s">
        <v>67</v>
      </c>
      <c r="F2008" t="s">
        <v>134</v>
      </c>
      <c r="G2008" t="s">
        <v>17</v>
      </c>
      <c r="H2008" t="s">
        <v>141</v>
      </c>
      <c r="J2008" t="s">
        <v>386</v>
      </c>
      <c r="K2008" s="2">
        <v>7.7</v>
      </c>
      <c r="L2008">
        <v>20</v>
      </c>
      <c r="M2008">
        <f t="shared" si="31"/>
        <v>154</v>
      </c>
    </row>
    <row r="2009" spans="1:13">
      <c r="A2009" t="s">
        <v>384</v>
      </c>
      <c r="B2009" t="s">
        <v>385</v>
      </c>
      <c r="C2009" s="1">
        <v>39885</v>
      </c>
      <c r="D2009" t="s">
        <v>40</v>
      </c>
      <c r="E2009" t="s">
        <v>21</v>
      </c>
      <c r="F2009" t="s">
        <v>41</v>
      </c>
      <c r="G2009" t="s">
        <v>17</v>
      </c>
      <c r="H2009" t="s">
        <v>141</v>
      </c>
      <c r="J2009" t="s">
        <v>386</v>
      </c>
      <c r="K2009" s="2">
        <v>2</v>
      </c>
      <c r="L2009">
        <v>12</v>
      </c>
      <c r="M2009">
        <f t="shared" si="31"/>
        <v>24</v>
      </c>
    </row>
    <row r="2010" spans="1:13">
      <c r="A2010" t="s">
        <v>384</v>
      </c>
      <c r="B2010" t="s">
        <v>385</v>
      </c>
      <c r="C2010" s="1">
        <v>40082</v>
      </c>
      <c r="D2010" t="s">
        <v>38</v>
      </c>
      <c r="E2010" t="s">
        <v>53</v>
      </c>
      <c r="F2010" t="s">
        <v>29</v>
      </c>
      <c r="G2010" t="s">
        <v>39</v>
      </c>
      <c r="H2010" t="s">
        <v>141</v>
      </c>
      <c r="J2010" t="s">
        <v>386</v>
      </c>
      <c r="K2010" s="2">
        <v>49.3</v>
      </c>
      <c r="L2010">
        <v>2</v>
      </c>
      <c r="M2010">
        <f t="shared" si="31"/>
        <v>98.6</v>
      </c>
    </row>
    <row r="2011" spans="1:13">
      <c r="A2011" t="s">
        <v>384</v>
      </c>
      <c r="B2011" t="s">
        <v>385</v>
      </c>
      <c r="C2011" s="1">
        <v>40030</v>
      </c>
      <c r="D2011" t="s">
        <v>116</v>
      </c>
      <c r="E2011" t="s">
        <v>24</v>
      </c>
      <c r="F2011" t="s">
        <v>22</v>
      </c>
      <c r="G2011" t="s">
        <v>17</v>
      </c>
      <c r="H2011" t="s">
        <v>141</v>
      </c>
      <c r="J2011" t="s">
        <v>386</v>
      </c>
      <c r="K2011" s="2">
        <v>15</v>
      </c>
      <c r="L2011">
        <v>20</v>
      </c>
      <c r="M2011">
        <f t="shared" si="31"/>
        <v>300</v>
      </c>
    </row>
    <row r="2012" spans="1:13">
      <c r="A2012" t="s">
        <v>384</v>
      </c>
      <c r="B2012" t="s">
        <v>385</v>
      </c>
      <c r="C2012" s="1">
        <v>40030</v>
      </c>
      <c r="D2012" t="s">
        <v>130</v>
      </c>
      <c r="E2012" t="s">
        <v>24</v>
      </c>
      <c r="F2012" t="s">
        <v>118</v>
      </c>
      <c r="G2012" t="s">
        <v>17</v>
      </c>
      <c r="H2012" t="s">
        <v>141</v>
      </c>
      <c r="J2012" t="s">
        <v>386</v>
      </c>
      <c r="K2012" s="2">
        <v>9</v>
      </c>
      <c r="L2012">
        <v>10</v>
      </c>
      <c r="M2012">
        <f t="shared" si="31"/>
        <v>90</v>
      </c>
    </row>
    <row r="2013" spans="1:13">
      <c r="A2013" t="s">
        <v>384</v>
      </c>
      <c r="B2013" t="s">
        <v>385</v>
      </c>
      <c r="C2013" s="1">
        <v>40030</v>
      </c>
      <c r="D2013" t="s">
        <v>121</v>
      </c>
      <c r="E2013" t="s">
        <v>24</v>
      </c>
      <c r="F2013" t="s">
        <v>41</v>
      </c>
      <c r="G2013" t="s">
        <v>17</v>
      </c>
      <c r="H2013" t="s">
        <v>141</v>
      </c>
      <c r="J2013" t="s">
        <v>386</v>
      </c>
      <c r="K2013" s="2">
        <v>21.5</v>
      </c>
      <c r="L2013">
        <v>15</v>
      </c>
      <c r="M2013">
        <f t="shared" si="31"/>
        <v>322.5</v>
      </c>
    </row>
    <row r="2014" spans="1:13">
      <c r="A2014" t="s">
        <v>384</v>
      </c>
      <c r="B2014" t="s">
        <v>385</v>
      </c>
      <c r="C2014" s="1">
        <v>40030</v>
      </c>
      <c r="D2014" t="s">
        <v>64</v>
      </c>
      <c r="E2014" t="s">
        <v>24</v>
      </c>
      <c r="F2014" t="s">
        <v>35</v>
      </c>
      <c r="G2014" t="s">
        <v>17</v>
      </c>
      <c r="H2014" t="s">
        <v>141</v>
      </c>
      <c r="J2014" t="s">
        <v>386</v>
      </c>
      <c r="K2014" s="2">
        <v>9.1999999999999993</v>
      </c>
      <c r="L2014">
        <v>5</v>
      </c>
      <c r="M2014">
        <f t="shared" si="31"/>
        <v>46</v>
      </c>
    </row>
    <row r="2015" spans="1:13">
      <c r="A2015" t="s">
        <v>384</v>
      </c>
      <c r="B2015" t="s">
        <v>385</v>
      </c>
      <c r="C2015" s="1">
        <v>39460</v>
      </c>
      <c r="D2015" t="s">
        <v>86</v>
      </c>
      <c r="E2015" t="s">
        <v>103</v>
      </c>
      <c r="F2015" t="s">
        <v>54</v>
      </c>
      <c r="G2015" t="s">
        <v>39</v>
      </c>
      <c r="H2015" t="s">
        <v>141</v>
      </c>
      <c r="J2015" t="s">
        <v>386</v>
      </c>
      <c r="K2015" s="2">
        <v>34</v>
      </c>
      <c r="L2015">
        <v>21</v>
      </c>
      <c r="M2015">
        <f t="shared" si="31"/>
        <v>714</v>
      </c>
    </row>
    <row r="2016" spans="1:13">
      <c r="A2016" t="s">
        <v>384</v>
      </c>
      <c r="B2016" t="s">
        <v>385</v>
      </c>
      <c r="C2016" s="1">
        <v>39885</v>
      </c>
      <c r="D2016" t="s">
        <v>121</v>
      </c>
      <c r="E2016" t="s">
        <v>21</v>
      </c>
      <c r="F2016" t="s">
        <v>41</v>
      </c>
      <c r="G2016" t="s">
        <v>17</v>
      </c>
      <c r="H2016" t="s">
        <v>141</v>
      </c>
      <c r="J2016" t="s">
        <v>386</v>
      </c>
      <c r="K2016" s="2">
        <v>17.2</v>
      </c>
      <c r="L2016">
        <v>12</v>
      </c>
      <c r="M2016">
        <f t="shared" si="31"/>
        <v>206.39999999999998</v>
      </c>
    </row>
    <row r="2017" spans="1:13">
      <c r="A2017" t="s">
        <v>384</v>
      </c>
      <c r="B2017" t="s">
        <v>385</v>
      </c>
      <c r="C2017" s="1">
        <v>39513</v>
      </c>
      <c r="D2017" t="s">
        <v>32</v>
      </c>
      <c r="E2017" t="s">
        <v>89</v>
      </c>
      <c r="F2017" t="s">
        <v>33</v>
      </c>
      <c r="G2017" t="s">
        <v>39</v>
      </c>
      <c r="H2017" t="s">
        <v>141</v>
      </c>
      <c r="J2017" t="s">
        <v>386</v>
      </c>
      <c r="K2017" s="2">
        <v>32.799999999999997</v>
      </c>
      <c r="L2017">
        <v>2</v>
      </c>
      <c r="M2017">
        <f t="shared" si="31"/>
        <v>65.599999999999994</v>
      </c>
    </row>
    <row r="2018" spans="1:13">
      <c r="A2018" t="s">
        <v>384</v>
      </c>
      <c r="B2018" t="s">
        <v>385</v>
      </c>
      <c r="C2018" s="1">
        <v>39460</v>
      </c>
      <c r="D2018" t="s">
        <v>124</v>
      </c>
      <c r="E2018" t="s">
        <v>103</v>
      </c>
      <c r="F2018" t="s">
        <v>125</v>
      </c>
      <c r="G2018" t="s">
        <v>39</v>
      </c>
      <c r="H2018" t="s">
        <v>141</v>
      </c>
      <c r="J2018" t="s">
        <v>386</v>
      </c>
      <c r="K2018" s="2">
        <v>6</v>
      </c>
      <c r="L2018">
        <v>10</v>
      </c>
      <c r="M2018">
        <f t="shared" si="31"/>
        <v>60</v>
      </c>
    </row>
    <row r="2019" spans="1:13">
      <c r="A2019" t="s">
        <v>384</v>
      </c>
      <c r="B2019" t="s">
        <v>385</v>
      </c>
      <c r="C2019" s="1">
        <v>39460</v>
      </c>
      <c r="D2019" t="s">
        <v>23</v>
      </c>
      <c r="E2019" t="s">
        <v>103</v>
      </c>
      <c r="F2019" t="s">
        <v>25</v>
      </c>
      <c r="G2019" t="s">
        <v>39</v>
      </c>
      <c r="H2019" t="s">
        <v>141</v>
      </c>
      <c r="J2019" t="s">
        <v>386</v>
      </c>
      <c r="K2019" s="2">
        <v>40</v>
      </c>
      <c r="L2019">
        <v>20</v>
      </c>
      <c r="M2019">
        <f t="shared" si="31"/>
        <v>800</v>
      </c>
    </row>
    <row r="2020" spans="1:13">
      <c r="A2020" t="s">
        <v>384</v>
      </c>
      <c r="B2020" t="s">
        <v>385</v>
      </c>
      <c r="C2020" s="1">
        <v>40074</v>
      </c>
      <c r="D2020" t="s">
        <v>130</v>
      </c>
      <c r="E2020" t="s">
        <v>24</v>
      </c>
      <c r="F2020" t="s">
        <v>118</v>
      </c>
      <c r="G2020" t="s">
        <v>17</v>
      </c>
      <c r="H2020" t="s">
        <v>141</v>
      </c>
      <c r="J2020" t="s">
        <v>386</v>
      </c>
      <c r="K2020" s="2">
        <v>9</v>
      </c>
      <c r="L2020">
        <v>5</v>
      </c>
      <c r="M2020">
        <f t="shared" si="31"/>
        <v>45</v>
      </c>
    </row>
    <row r="2021" spans="1:13">
      <c r="A2021" t="s">
        <v>384</v>
      </c>
      <c r="B2021" t="s">
        <v>385</v>
      </c>
      <c r="C2021" s="1">
        <v>39717</v>
      </c>
      <c r="D2021" t="s">
        <v>116</v>
      </c>
      <c r="E2021" t="s">
        <v>24</v>
      </c>
      <c r="F2021" t="s">
        <v>22</v>
      </c>
      <c r="G2021" t="s">
        <v>17</v>
      </c>
      <c r="H2021" t="s">
        <v>141</v>
      </c>
      <c r="J2021" t="s">
        <v>386</v>
      </c>
      <c r="K2021" s="2">
        <v>12</v>
      </c>
      <c r="L2021">
        <v>30</v>
      </c>
      <c r="M2021">
        <f t="shared" si="31"/>
        <v>360</v>
      </c>
    </row>
    <row r="2022" spans="1:13">
      <c r="A2022" t="s">
        <v>384</v>
      </c>
      <c r="B2022" t="s">
        <v>385</v>
      </c>
      <c r="C2022" s="1">
        <v>39717</v>
      </c>
      <c r="D2022" t="s">
        <v>59</v>
      </c>
      <c r="E2022" t="s">
        <v>24</v>
      </c>
      <c r="F2022" t="s">
        <v>45</v>
      </c>
      <c r="G2022" t="s">
        <v>17</v>
      </c>
      <c r="H2022" t="s">
        <v>141</v>
      </c>
      <c r="J2022" t="s">
        <v>386</v>
      </c>
      <c r="K2022" s="2">
        <v>11.2</v>
      </c>
      <c r="L2022">
        <v>14</v>
      </c>
      <c r="M2022">
        <f t="shared" si="31"/>
        <v>156.79999999999998</v>
      </c>
    </row>
    <row r="2023" spans="1:13">
      <c r="A2023" t="s">
        <v>384</v>
      </c>
      <c r="B2023" t="s">
        <v>385</v>
      </c>
      <c r="C2023" s="1">
        <v>39460</v>
      </c>
      <c r="D2023" t="s">
        <v>36</v>
      </c>
      <c r="E2023" t="s">
        <v>103</v>
      </c>
      <c r="F2023" t="s">
        <v>37</v>
      </c>
      <c r="G2023" t="s">
        <v>39</v>
      </c>
      <c r="H2023" t="s">
        <v>141</v>
      </c>
      <c r="J2023" t="s">
        <v>386</v>
      </c>
      <c r="K2023" s="2">
        <v>19</v>
      </c>
      <c r="L2023">
        <v>10</v>
      </c>
      <c r="M2023">
        <f t="shared" si="31"/>
        <v>190</v>
      </c>
    </row>
    <row r="2024" spans="1:13">
      <c r="A2024" t="s">
        <v>384</v>
      </c>
      <c r="B2024" t="s">
        <v>385</v>
      </c>
      <c r="C2024" s="1">
        <v>39724</v>
      </c>
      <c r="D2024" t="s">
        <v>44</v>
      </c>
      <c r="E2024" t="s">
        <v>15</v>
      </c>
      <c r="F2024" t="s">
        <v>45</v>
      </c>
      <c r="G2024" t="s">
        <v>17</v>
      </c>
      <c r="H2024" t="s">
        <v>141</v>
      </c>
      <c r="J2024" t="s">
        <v>386</v>
      </c>
      <c r="K2024" s="2">
        <v>14.4</v>
      </c>
      <c r="L2024">
        <v>10</v>
      </c>
      <c r="M2024">
        <f t="shared" si="31"/>
        <v>144</v>
      </c>
    </row>
    <row r="2025" spans="1:13">
      <c r="A2025" t="s">
        <v>387</v>
      </c>
      <c r="B2025" t="s">
        <v>388</v>
      </c>
      <c r="C2025" s="1">
        <v>39537</v>
      </c>
      <c r="D2025" t="s">
        <v>96</v>
      </c>
      <c r="E2025" t="s">
        <v>67</v>
      </c>
      <c r="F2025" t="s">
        <v>97</v>
      </c>
      <c r="G2025" t="s">
        <v>39</v>
      </c>
      <c r="H2025" t="s">
        <v>158</v>
      </c>
      <c r="I2025" t="s">
        <v>389</v>
      </c>
      <c r="J2025" t="s">
        <v>390</v>
      </c>
      <c r="K2025" s="2">
        <v>18</v>
      </c>
      <c r="L2025">
        <v>10</v>
      </c>
      <c r="M2025">
        <f t="shared" si="31"/>
        <v>180</v>
      </c>
    </row>
    <row r="2026" spans="1:13">
      <c r="A2026" t="s">
        <v>387</v>
      </c>
      <c r="B2026" t="s">
        <v>388</v>
      </c>
      <c r="C2026" s="1">
        <v>39822</v>
      </c>
      <c r="D2026" t="s">
        <v>34</v>
      </c>
      <c r="E2026" t="s">
        <v>15</v>
      </c>
      <c r="F2026" t="s">
        <v>35</v>
      </c>
      <c r="G2026" t="s">
        <v>17</v>
      </c>
      <c r="H2026" t="s">
        <v>158</v>
      </c>
      <c r="I2026" t="s">
        <v>389</v>
      </c>
      <c r="J2026" t="s">
        <v>390</v>
      </c>
      <c r="K2026" s="2">
        <v>8</v>
      </c>
      <c r="L2026">
        <v>12</v>
      </c>
      <c r="M2026">
        <f t="shared" si="31"/>
        <v>96</v>
      </c>
    </row>
    <row r="2027" spans="1:13">
      <c r="A2027" t="s">
        <v>387</v>
      </c>
      <c r="B2027" t="s">
        <v>388</v>
      </c>
      <c r="C2027" s="1">
        <v>39498</v>
      </c>
      <c r="D2027" t="s">
        <v>124</v>
      </c>
      <c r="E2027" t="s">
        <v>24</v>
      </c>
      <c r="F2027" t="s">
        <v>125</v>
      </c>
      <c r="G2027" t="s">
        <v>39</v>
      </c>
      <c r="H2027" t="s">
        <v>158</v>
      </c>
      <c r="I2027" t="s">
        <v>389</v>
      </c>
      <c r="J2027" t="s">
        <v>390</v>
      </c>
      <c r="K2027" s="2">
        <v>6</v>
      </c>
      <c r="L2027">
        <v>5</v>
      </c>
      <c r="M2027">
        <f t="shared" si="31"/>
        <v>30</v>
      </c>
    </row>
    <row r="2028" spans="1:13">
      <c r="A2028" t="s">
        <v>387</v>
      </c>
      <c r="B2028" t="s">
        <v>388</v>
      </c>
      <c r="C2028" s="1">
        <v>39941</v>
      </c>
      <c r="D2028" t="s">
        <v>52</v>
      </c>
      <c r="E2028" t="s">
        <v>50</v>
      </c>
      <c r="F2028" t="s">
        <v>54</v>
      </c>
      <c r="G2028" t="s">
        <v>17</v>
      </c>
      <c r="H2028" t="s">
        <v>158</v>
      </c>
      <c r="I2028" t="s">
        <v>389</v>
      </c>
      <c r="J2028" t="s">
        <v>390</v>
      </c>
      <c r="K2028" s="2">
        <v>55</v>
      </c>
      <c r="L2028">
        <v>2</v>
      </c>
      <c r="M2028">
        <f t="shared" si="31"/>
        <v>110</v>
      </c>
    </row>
    <row r="2029" spans="1:13">
      <c r="A2029" t="s">
        <v>387</v>
      </c>
      <c r="B2029" t="s">
        <v>388</v>
      </c>
      <c r="C2029" s="1">
        <v>39822</v>
      </c>
      <c r="D2029" t="s">
        <v>153</v>
      </c>
      <c r="E2029" t="s">
        <v>15</v>
      </c>
      <c r="F2029" t="s">
        <v>125</v>
      </c>
      <c r="G2029" t="s">
        <v>17</v>
      </c>
      <c r="H2029" t="s">
        <v>158</v>
      </c>
      <c r="I2029" t="s">
        <v>389</v>
      </c>
      <c r="J2029" t="s">
        <v>390</v>
      </c>
      <c r="K2029" s="2">
        <v>18.600000000000001</v>
      </c>
      <c r="L2029">
        <v>12</v>
      </c>
      <c r="M2029">
        <f t="shared" si="31"/>
        <v>223.20000000000002</v>
      </c>
    </row>
    <row r="2030" spans="1:13">
      <c r="A2030" t="s">
        <v>387</v>
      </c>
      <c r="B2030" t="s">
        <v>388</v>
      </c>
      <c r="C2030" s="1">
        <v>39525</v>
      </c>
      <c r="D2030" t="s">
        <v>149</v>
      </c>
      <c r="E2030" t="s">
        <v>50</v>
      </c>
      <c r="F2030" t="s">
        <v>27</v>
      </c>
      <c r="G2030" t="s">
        <v>39</v>
      </c>
      <c r="H2030" t="s">
        <v>158</v>
      </c>
      <c r="I2030" t="s">
        <v>389</v>
      </c>
      <c r="J2030" t="s">
        <v>390</v>
      </c>
      <c r="K2030" s="2">
        <v>21.35</v>
      </c>
      <c r="L2030">
        <v>20</v>
      </c>
      <c r="M2030">
        <f t="shared" si="31"/>
        <v>427</v>
      </c>
    </row>
    <row r="2031" spans="1:13">
      <c r="A2031" t="s">
        <v>387</v>
      </c>
      <c r="B2031" t="s">
        <v>388</v>
      </c>
      <c r="C2031" s="1">
        <v>39537</v>
      </c>
      <c r="D2031" t="s">
        <v>49</v>
      </c>
      <c r="E2031" t="s">
        <v>67</v>
      </c>
      <c r="F2031" t="s">
        <v>51</v>
      </c>
      <c r="G2031" t="s">
        <v>39</v>
      </c>
      <c r="H2031" t="s">
        <v>158</v>
      </c>
      <c r="I2031" t="s">
        <v>389</v>
      </c>
      <c r="J2031" t="s">
        <v>390</v>
      </c>
      <c r="K2031" s="2">
        <v>13</v>
      </c>
      <c r="L2031">
        <v>15</v>
      </c>
      <c r="M2031">
        <f t="shared" si="31"/>
        <v>195</v>
      </c>
    </row>
    <row r="2032" spans="1:13">
      <c r="A2032" t="s">
        <v>387</v>
      </c>
      <c r="B2032" t="s">
        <v>388</v>
      </c>
      <c r="C2032" s="1">
        <v>39525</v>
      </c>
      <c r="D2032" t="s">
        <v>75</v>
      </c>
      <c r="E2032" t="s">
        <v>50</v>
      </c>
      <c r="F2032" t="s">
        <v>76</v>
      </c>
      <c r="G2032" t="s">
        <v>39</v>
      </c>
      <c r="H2032" t="s">
        <v>158</v>
      </c>
      <c r="I2032" t="s">
        <v>389</v>
      </c>
      <c r="J2032" t="s">
        <v>390</v>
      </c>
      <c r="K2032" s="2">
        <v>34.799999999999997</v>
      </c>
      <c r="L2032">
        <v>5</v>
      </c>
      <c r="M2032">
        <f t="shared" si="31"/>
        <v>174</v>
      </c>
    </row>
    <row r="2033" spans="1:13">
      <c r="A2033" t="s">
        <v>387</v>
      </c>
      <c r="B2033" t="s">
        <v>388</v>
      </c>
      <c r="C2033" s="1">
        <v>39525</v>
      </c>
      <c r="D2033" t="s">
        <v>87</v>
      </c>
      <c r="E2033" t="s">
        <v>50</v>
      </c>
      <c r="F2033" t="s">
        <v>25</v>
      </c>
      <c r="G2033" t="s">
        <v>39</v>
      </c>
      <c r="H2033" t="s">
        <v>158</v>
      </c>
      <c r="I2033" t="s">
        <v>389</v>
      </c>
      <c r="J2033" t="s">
        <v>390</v>
      </c>
      <c r="K2033" s="2">
        <v>30</v>
      </c>
      <c r="L2033">
        <v>6</v>
      </c>
      <c r="M2033">
        <f t="shared" si="31"/>
        <v>180</v>
      </c>
    </row>
    <row r="2034" spans="1:13">
      <c r="A2034" t="s">
        <v>387</v>
      </c>
      <c r="B2034" t="s">
        <v>388</v>
      </c>
      <c r="C2034" s="1">
        <v>39537</v>
      </c>
      <c r="D2034" t="s">
        <v>136</v>
      </c>
      <c r="E2034" t="s">
        <v>67</v>
      </c>
      <c r="F2034" t="s">
        <v>35</v>
      </c>
      <c r="G2034" t="s">
        <v>39</v>
      </c>
      <c r="H2034" t="s">
        <v>158</v>
      </c>
      <c r="I2034" t="s">
        <v>389</v>
      </c>
      <c r="J2034" t="s">
        <v>390</v>
      </c>
      <c r="K2034" s="2">
        <v>81</v>
      </c>
      <c r="L2034">
        <v>15</v>
      </c>
      <c r="M2034">
        <f t="shared" si="31"/>
        <v>1215</v>
      </c>
    </row>
    <row r="2035" spans="1:13">
      <c r="A2035" t="s">
        <v>387</v>
      </c>
      <c r="B2035" t="s">
        <v>388</v>
      </c>
      <c r="C2035" s="1">
        <v>39537</v>
      </c>
      <c r="D2035" t="s">
        <v>131</v>
      </c>
      <c r="E2035" t="s">
        <v>67</v>
      </c>
      <c r="F2035" t="s">
        <v>132</v>
      </c>
      <c r="G2035" t="s">
        <v>39</v>
      </c>
      <c r="H2035" t="s">
        <v>158</v>
      </c>
      <c r="I2035" t="s">
        <v>389</v>
      </c>
      <c r="J2035" t="s">
        <v>390</v>
      </c>
      <c r="K2035" s="2">
        <v>21</v>
      </c>
      <c r="L2035">
        <v>30</v>
      </c>
      <c r="M2035">
        <f t="shared" si="31"/>
        <v>630</v>
      </c>
    </row>
    <row r="2036" spans="1:13">
      <c r="A2036" t="s">
        <v>391</v>
      </c>
      <c r="B2036" t="s">
        <v>392</v>
      </c>
      <c r="C2036" s="1">
        <v>39843</v>
      </c>
      <c r="D2036" t="s">
        <v>48</v>
      </c>
      <c r="E2036" t="s">
        <v>24</v>
      </c>
      <c r="F2036" t="s">
        <v>22</v>
      </c>
      <c r="G2036" t="s">
        <v>17</v>
      </c>
      <c r="H2036" t="s">
        <v>215</v>
      </c>
      <c r="I2036" t="s">
        <v>299</v>
      </c>
      <c r="J2036" t="s">
        <v>393</v>
      </c>
      <c r="K2036" s="2">
        <v>31.2</v>
      </c>
      <c r="L2036">
        <v>50</v>
      </c>
      <c r="M2036">
        <f t="shared" si="31"/>
        <v>1560</v>
      </c>
    </row>
    <row r="2037" spans="1:13">
      <c r="A2037" t="s">
        <v>391</v>
      </c>
      <c r="B2037" t="s">
        <v>392</v>
      </c>
      <c r="C2037" s="1">
        <v>39532</v>
      </c>
      <c r="D2037" t="s">
        <v>23</v>
      </c>
      <c r="E2037" t="s">
        <v>21</v>
      </c>
      <c r="F2037" t="s">
        <v>25</v>
      </c>
      <c r="G2037" t="s">
        <v>39</v>
      </c>
      <c r="H2037" t="s">
        <v>215</v>
      </c>
      <c r="I2037" t="s">
        <v>299</v>
      </c>
      <c r="J2037" t="s">
        <v>393</v>
      </c>
      <c r="K2037" s="2">
        <v>40</v>
      </c>
      <c r="L2037">
        <v>16</v>
      </c>
      <c r="M2037">
        <f t="shared" si="31"/>
        <v>640</v>
      </c>
    </row>
    <row r="2038" spans="1:13">
      <c r="A2038" t="s">
        <v>391</v>
      </c>
      <c r="B2038" t="s">
        <v>392</v>
      </c>
      <c r="C2038" s="1">
        <v>39532</v>
      </c>
      <c r="D2038" t="s">
        <v>71</v>
      </c>
      <c r="E2038" t="s">
        <v>21</v>
      </c>
      <c r="F2038" t="s">
        <v>51</v>
      </c>
      <c r="G2038" t="s">
        <v>39</v>
      </c>
      <c r="H2038" t="s">
        <v>215</v>
      </c>
      <c r="I2038" t="s">
        <v>299</v>
      </c>
      <c r="J2038" t="s">
        <v>393</v>
      </c>
      <c r="K2038" s="2">
        <v>7.75</v>
      </c>
      <c r="L2038">
        <v>10</v>
      </c>
      <c r="M2038">
        <f t="shared" si="31"/>
        <v>77.5</v>
      </c>
    </row>
    <row r="2039" spans="1:13">
      <c r="A2039" t="s">
        <v>391</v>
      </c>
      <c r="B2039" t="s">
        <v>392</v>
      </c>
      <c r="C2039" s="1">
        <v>39711</v>
      </c>
      <c r="D2039" t="s">
        <v>116</v>
      </c>
      <c r="E2039" t="s">
        <v>24</v>
      </c>
      <c r="F2039" t="s">
        <v>22</v>
      </c>
      <c r="G2039" t="s">
        <v>17</v>
      </c>
      <c r="H2039" t="s">
        <v>215</v>
      </c>
      <c r="I2039" t="s">
        <v>299</v>
      </c>
      <c r="J2039" t="s">
        <v>393</v>
      </c>
      <c r="K2039" s="2">
        <v>12</v>
      </c>
      <c r="L2039">
        <v>30</v>
      </c>
      <c r="M2039">
        <f t="shared" si="31"/>
        <v>360</v>
      </c>
    </row>
    <row r="2040" spans="1:13">
      <c r="A2040" t="s">
        <v>391</v>
      </c>
      <c r="B2040" t="s">
        <v>392</v>
      </c>
      <c r="C2040" s="1">
        <v>39823</v>
      </c>
      <c r="D2040" t="s">
        <v>133</v>
      </c>
      <c r="E2040" t="s">
        <v>103</v>
      </c>
      <c r="F2040" t="s">
        <v>134</v>
      </c>
      <c r="G2040" t="s">
        <v>17</v>
      </c>
      <c r="H2040" t="s">
        <v>215</v>
      </c>
      <c r="I2040" t="s">
        <v>299</v>
      </c>
      <c r="J2040" t="s">
        <v>393</v>
      </c>
      <c r="K2040" s="2">
        <v>7.7</v>
      </c>
      <c r="L2040">
        <v>25</v>
      </c>
      <c r="M2040">
        <f t="shared" si="31"/>
        <v>192.5</v>
      </c>
    </row>
    <row r="2041" spans="1:13">
      <c r="A2041" t="s">
        <v>391</v>
      </c>
      <c r="B2041" t="s">
        <v>392</v>
      </c>
      <c r="C2041" s="1">
        <v>39823</v>
      </c>
      <c r="D2041" t="s">
        <v>73</v>
      </c>
      <c r="E2041" t="s">
        <v>103</v>
      </c>
      <c r="F2041" t="s">
        <v>74</v>
      </c>
      <c r="G2041" t="s">
        <v>17</v>
      </c>
      <c r="H2041" t="s">
        <v>215</v>
      </c>
      <c r="I2041" t="s">
        <v>299</v>
      </c>
      <c r="J2041" t="s">
        <v>393</v>
      </c>
      <c r="K2041" s="2">
        <v>15.5</v>
      </c>
      <c r="L2041">
        <v>40</v>
      </c>
      <c r="M2041">
        <f t="shared" si="31"/>
        <v>620</v>
      </c>
    </row>
    <row r="2042" spans="1:13">
      <c r="A2042" t="s">
        <v>391</v>
      </c>
      <c r="B2042" t="s">
        <v>392</v>
      </c>
      <c r="C2042" s="1">
        <v>39823</v>
      </c>
      <c r="D2042" t="s">
        <v>52</v>
      </c>
      <c r="E2042" t="s">
        <v>103</v>
      </c>
      <c r="F2042" t="s">
        <v>54</v>
      </c>
      <c r="G2042" t="s">
        <v>17</v>
      </c>
      <c r="H2042" t="s">
        <v>215</v>
      </c>
      <c r="I2042" t="s">
        <v>299</v>
      </c>
      <c r="J2042" t="s">
        <v>393</v>
      </c>
      <c r="K2042" s="2">
        <v>44</v>
      </c>
      <c r="L2042">
        <v>9</v>
      </c>
      <c r="M2042">
        <f t="shared" si="31"/>
        <v>396</v>
      </c>
    </row>
    <row r="2043" spans="1:13">
      <c r="A2043" t="s">
        <v>391</v>
      </c>
      <c r="B2043" t="s">
        <v>392</v>
      </c>
      <c r="C2043" s="1">
        <v>39711</v>
      </c>
      <c r="D2043" t="s">
        <v>148</v>
      </c>
      <c r="E2043" t="s">
        <v>24</v>
      </c>
      <c r="F2043" t="s">
        <v>16</v>
      </c>
      <c r="G2043" t="s">
        <v>17</v>
      </c>
      <c r="H2043" t="s">
        <v>215</v>
      </c>
      <c r="I2043" t="s">
        <v>299</v>
      </c>
      <c r="J2043" t="s">
        <v>393</v>
      </c>
      <c r="K2043" s="2">
        <v>19.2</v>
      </c>
      <c r="L2043">
        <v>15</v>
      </c>
      <c r="M2043">
        <f t="shared" si="31"/>
        <v>288</v>
      </c>
    </row>
    <row r="2044" spans="1:13">
      <c r="A2044" t="s">
        <v>391</v>
      </c>
      <c r="B2044" t="s">
        <v>392</v>
      </c>
      <c r="C2044" s="1">
        <v>39711</v>
      </c>
      <c r="D2044" t="s">
        <v>102</v>
      </c>
      <c r="E2044" t="s">
        <v>24</v>
      </c>
      <c r="F2044" t="s">
        <v>47</v>
      </c>
      <c r="G2044" t="s">
        <v>17</v>
      </c>
      <c r="H2044" t="s">
        <v>215</v>
      </c>
      <c r="I2044" t="s">
        <v>299</v>
      </c>
      <c r="J2044" t="s">
        <v>393</v>
      </c>
      <c r="K2044" s="2">
        <v>24.8</v>
      </c>
      <c r="L2044">
        <v>16</v>
      </c>
      <c r="M2044">
        <f t="shared" si="31"/>
        <v>396.8</v>
      </c>
    </row>
    <row r="2045" spans="1:13">
      <c r="A2045" t="s">
        <v>391</v>
      </c>
      <c r="B2045" t="s">
        <v>392</v>
      </c>
      <c r="C2045" s="1">
        <v>39561</v>
      </c>
      <c r="D2045" t="s">
        <v>85</v>
      </c>
      <c r="E2045" t="s">
        <v>89</v>
      </c>
      <c r="F2045" t="s">
        <v>33</v>
      </c>
      <c r="G2045" t="s">
        <v>39</v>
      </c>
      <c r="H2045" t="s">
        <v>215</v>
      </c>
      <c r="I2045" t="s">
        <v>299</v>
      </c>
      <c r="J2045" t="s">
        <v>393</v>
      </c>
      <c r="K2045" s="2">
        <v>53</v>
      </c>
      <c r="L2045">
        <v>24</v>
      </c>
      <c r="M2045">
        <f t="shared" si="31"/>
        <v>1272</v>
      </c>
    </row>
    <row r="2046" spans="1:13">
      <c r="A2046" t="s">
        <v>391</v>
      </c>
      <c r="B2046" t="s">
        <v>392</v>
      </c>
      <c r="C2046" s="1">
        <v>39843</v>
      </c>
      <c r="D2046" t="s">
        <v>170</v>
      </c>
      <c r="E2046" t="s">
        <v>24</v>
      </c>
      <c r="F2046" t="s">
        <v>101</v>
      </c>
      <c r="G2046" t="s">
        <v>17</v>
      </c>
      <c r="H2046" t="s">
        <v>215</v>
      </c>
      <c r="I2046" t="s">
        <v>299</v>
      </c>
      <c r="J2046" t="s">
        <v>393</v>
      </c>
      <c r="K2046" s="2">
        <v>7.6</v>
      </c>
      <c r="L2046">
        <v>30</v>
      </c>
      <c r="M2046">
        <f t="shared" si="31"/>
        <v>228</v>
      </c>
    </row>
    <row r="2047" spans="1:13">
      <c r="A2047" t="s">
        <v>391</v>
      </c>
      <c r="B2047" t="s">
        <v>392</v>
      </c>
      <c r="C2047" s="1">
        <v>39843</v>
      </c>
      <c r="D2047" t="s">
        <v>185</v>
      </c>
      <c r="E2047" t="s">
        <v>24</v>
      </c>
      <c r="F2047" t="s">
        <v>134</v>
      </c>
      <c r="G2047" t="s">
        <v>17</v>
      </c>
      <c r="H2047" t="s">
        <v>215</v>
      </c>
      <c r="I2047" t="s">
        <v>299</v>
      </c>
      <c r="J2047" t="s">
        <v>393</v>
      </c>
      <c r="K2047" s="2">
        <v>14.7</v>
      </c>
      <c r="L2047">
        <v>50</v>
      </c>
      <c r="M2047">
        <f t="shared" si="31"/>
        <v>735</v>
      </c>
    </row>
    <row r="2048" spans="1:13">
      <c r="A2048" t="s">
        <v>391</v>
      </c>
      <c r="B2048" t="s">
        <v>392</v>
      </c>
      <c r="C2048" s="1">
        <v>39711</v>
      </c>
      <c r="D2048" t="s">
        <v>38</v>
      </c>
      <c r="E2048" t="s">
        <v>24</v>
      </c>
      <c r="F2048" t="s">
        <v>29</v>
      </c>
      <c r="G2048" t="s">
        <v>17</v>
      </c>
      <c r="H2048" t="s">
        <v>215</v>
      </c>
      <c r="I2048" t="s">
        <v>299</v>
      </c>
      <c r="J2048" t="s">
        <v>393</v>
      </c>
      <c r="K2048" s="2">
        <v>39.4</v>
      </c>
      <c r="L2048">
        <v>20</v>
      </c>
      <c r="M2048">
        <f t="shared" si="31"/>
        <v>788</v>
      </c>
    </row>
    <row r="2049" spans="1:13">
      <c r="A2049" t="s">
        <v>391</v>
      </c>
      <c r="B2049" t="s">
        <v>392</v>
      </c>
      <c r="C2049" s="1">
        <v>39823</v>
      </c>
      <c r="D2049" t="s">
        <v>52</v>
      </c>
      <c r="E2049" t="s">
        <v>15</v>
      </c>
      <c r="F2049" t="s">
        <v>54</v>
      </c>
      <c r="G2049" t="s">
        <v>17</v>
      </c>
      <c r="H2049" t="s">
        <v>215</v>
      </c>
      <c r="I2049" t="s">
        <v>299</v>
      </c>
      <c r="J2049" t="s">
        <v>393</v>
      </c>
      <c r="K2049" s="2">
        <v>44</v>
      </c>
      <c r="L2049">
        <v>16</v>
      </c>
      <c r="M2049">
        <f t="shared" si="31"/>
        <v>704</v>
      </c>
    </row>
    <row r="2050" spans="1:13">
      <c r="A2050" t="s">
        <v>391</v>
      </c>
      <c r="B2050" t="s">
        <v>392</v>
      </c>
      <c r="C2050" s="1">
        <v>39534</v>
      </c>
      <c r="D2050" t="s">
        <v>87</v>
      </c>
      <c r="E2050" t="s">
        <v>53</v>
      </c>
      <c r="F2050" t="s">
        <v>25</v>
      </c>
      <c r="G2050" t="s">
        <v>39</v>
      </c>
      <c r="H2050" t="s">
        <v>215</v>
      </c>
      <c r="I2050" t="s">
        <v>299</v>
      </c>
      <c r="J2050" t="s">
        <v>393</v>
      </c>
      <c r="K2050" s="2">
        <v>30</v>
      </c>
      <c r="L2050">
        <v>20</v>
      </c>
      <c r="M2050">
        <f t="shared" si="31"/>
        <v>600</v>
      </c>
    </row>
    <row r="2051" spans="1:13">
      <c r="A2051" t="s">
        <v>391</v>
      </c>
      <c r="B2051" t="s">
        <v>392</v>
      </c>
      <c r="C2051" s="1">
        <v>39554</v>
      </c>
      <c r="D2051" t="s">
        <v>38</v>
      </c>
      <c r="E2051" t="s">
        <v>21</v>
      </c>
      <c r="F2051" t="s">
        <v>29</v>
      </c>
      <c r="G2051" t="s">
        <v>39</v>
      </c>
      <c r="H2051" t="s">
        <v>215</v>
      </c>
      <c r="I2051" t="s">
        <v>299</v>
      </c>
      <c r="J2051" t="s">
        <v>393</v>
      </c>
      <c r="K2051" s="2">
        <v>49.3</v>
      </c>
      <c r="L2051">
        <v>21</v>
      </c>
      <c r="M2051">
        <f t="shared" ref="M2051:M2114" si="32">K2051*L2051</f>
        <v>1035.3</v>
      </c>
    </row>
    <row r="2052" spans="1:13">
      <c r="A2052" t="s">
        <v>391</v>
      </c>
      <c r="B2052" t="s">
        <v>392</v>
      </c>
      <c r="C2052" s="1">
        <v>39520</v>
      </c>
      <c r="D2052" t="s">
        <v>38</v>
      </c>
      <c r="E2052" t="s">
        <v>53</v>
      </c>
      <c r="F2052" t="s">
        <v>29</v>
      </c>
      <c r="G2052" t="s">
        <v>39</v>
      </c>
      <c r="H2052" t="s">
        <v>215</v>
      </c>
      <c r="I2052" t="s">
        <v>299</v>
      </c>
      <c r="J2052" t="s">
        <v>393</v>
      </c>
      <c r="K2052" s="2">
        <v>49.3</v>
      </c>
      <c r="L2052">
        <v>60</v>
      </c>
      <c r="M2052">
        <f t="shared" si="32"/>
        <v>2958</v>
      </c>
    </row>
    <row r="2053" spans="1:13">
      <c r="A2053" t="s">
        <v>391</v>
      </c>
      <c r="B2053" t="s">
        <v>392</v>
      </c>
      <c r="C2053" s="1">
        <v>39904</v>
      </c>
      <c r="D2053" t="s">
        <v>110</v>
      </c>
      <c r="E2053" t="s">
        <v>15</v>
      </c>
      <c r="F2053" t="s">
        <v>74</v>
      </c>
      <c r="G2053" t="s">
        <v>17</v>
      </c>
      <c r="H2053" t="s">
        <v>215</v>
      </c>
      <c r="I2053" t="s">
        <v>299</v>
      </c>
      <c r="J2053" t="s">
        <v>393</v>
      </c>
      <c r="K2053" s="2">
        <v>11.2</v>
      </c>
      <c r="L2053">
        <v>20</v>
      </c>
      <c r="M2053">
        <f t="shared" si="32"/>
        <v>224</v>
      </c>
    </row>
    <row r="2054" spans="1:13">
      <c r="A2054" t="s">
        <v>391</v>
      </c>
      <c r="B2054" t="s">
        <v>392</v>
      </c>
      <c r="C2054" s="1">
        <v>39509</v>
      </c>
      <c r="D2054" t="s">
        <v>111</v>
      </c>
      <c r="E2054" t="s">
        <v>15</v>
      </c>
      <c r="F2054" t="s">
        <v>37</v>
      </c>
      <c r="G2054" t="s">
        <v>39</v>
      </c>
      <c r="H2054" t="s">
        <v>215</v>
      </c>
      <c r="I2054" t="s">
        <v>299</v>
      </c>
      <c r="J2054" t="s">
        <v>393</v>
      </c>
      <c r="K2054" s="2">
        <v>18</v>
      </c>
      <c r="L2054">
        <v>60</v>
      </c>
      <c r="M2054">
        <f t="shared" si="32"/>
        <v>1080</v>
      </c>
    </row>
    <row r="2055" spans="1:13">
      <c r="A2055" t="s">
        <v>391</v>
      </c>
      <c r="B2055" t="s">
        <v>392</v>
      </c>
      <c r="C2055" s="1">
        <v>39904</v>
      </c>
      <c r="D2055" t="s">
        <v>122</v>
      </c>
      <c r="E2055" t="s">
        <v>15</v>
      </c>
      <c r="F2055" t="s">
        <v>31</v>
      </c>
      <c r="G2055" t="s">
        <v>17</v>
      </c>
      <c r="H2055" t="s">
        <v>215</v>
      </c>
      <c r="I2055" t="s">
        <v>299</v>
      </c>
      <c r="J2055" t="s">
        <v>393</v>
      </c>
      <c r="K2055" s="2">
        <v>11.2</v>
      </c>
      <c r="L2055">
        <v>60</v>
      </c>
      <c r="M2055">
        <f t="shared" si="32"/>
        <v>672</v>
      </c>
    </row>
    <row r="2056" spans="1:13">
      <c r="A2056" t="s">
        <v>391</v>
      </c>
      <c r="B2056" t="s">
        <v>392</v>
      </c>
      <c r="C2056" s="1">
        <v>39534</v>
      </c>
      <c r="D2056" t="s">
        <v>94</v>
      </c>
      <c r="E2056" t="s">
        <v>53</v>
      </c>
      <c r="F2056" t="s">
        <v>74</v>
      </c>
      <c r="G2056" t="s">
        <v>39</v>
      </c>
      <c r="H2056" t="s">
        <v>215</v>
      </c>
      <c r="I2056" t="s">
        <v>299</v>
      </c>
      <c r="J2056" t="s">
        <v>393</v>
      </c>
      <c r="K2056" s="2">
        <v>46</v>
      </c>
      <c r="L2056">
        <v>9</v>
      </c>
      <c r="M2056">
        <f t="shared" si="32"/>
        <v>414</v>
      </c>
    </row>
    <row r="2057" spans="1:13">
      <c r="A2057" t="s">
        <v>391</v>
      </c>
      <c r="B2057" t="s">
        <v>392</v>
      </c>
      <c r="C2057" s="1">
        <v>39509</v>
      </c>
      <c r="D2057" t="s">
        <v>86</v>
      </c>
      <c r="E2057" t="s">
        <v>15</v>
      </c>
      <c r="F2057" t="s">
        <v>54</v>
      </c>
      <c r="G2057" t="s">
        <v>39</v>
      </c>
      <c r="H2057" t="s">
        <v>215</v>
      </c>
      <c r="I2057" t="s">
        <v>299</v>
      </c>
      <c r="J2057" t="s">
        <v>393</v>
      </c>
      <c r="K2057" s="2">
        <v>34</v>
      </c>
      <c r="L2057">
        <v>25</v>
      </c>
      <c r="M2057">
        <f t="shared" si="32"/>
        <v>850</v>
      </c>
    </row>
    <row r="2058" spans="1:13">
      <c r="A2058" t="s">
        <v>391</v>
      </c>
      <c r="B2058" t="s">
        <v>392</v>
      </c>
      <c r="C2058" s="1">
        <v>39520</v>
      </c>
      <c r="D2058" t="s">
        <v>155</v>
      </c>
      <c r="E2058" t="s">
        <v>53</v>
      </c>
      <c r="F2058" t="s">
        <v>25</v>
      </c>
      <c r="G2058" t="s">
        <v>39</v>
      </c>
      <c r="H2058" t="s">
        <v>215</v>
      </c>
      <c r="I2058" t="s">
        <v>299</v>
      </c>
      <c r="J2058" t="s">
        <v>393</v>
      </c>
      <c r="K2058" s="2">
        <v>25</v>
      </c>
      <c r="L2058">
        <v>12</v>
      </c>
      <c r="M2058">
        <f t="shared" si="32"/>
        <v>300</v>
      </c>
    </row>
    <row r="2059" spans="1:13">
      <c r="A2059" t="s">
        <v>391</v>
      </c>
      <c r="B2059" t="s">
        <v>392</v>
      </c>
      <c r="C2059" s="1">
        <v>39562</v>
      </c>
      <c r="D2059" t="s">
        <v>82</v>
      </c>
      <c r="E2059" t="s">
        <v>50</v>
      </c>
      <c r="F2059" t="s">
        <v>35</v>
      </c>
      <c r="G2059" t="s">
        <v>39</v>
      </c>
      <c r="H2059" t="s">
        <v>215</v>
      </c>
      <c r="I2059" t="s">
        <v>299</v>
      </c>
      <c r="J2059" t="s">
        <v>393</v>
      </c>
      <c r="K2059" s="2">
        <v>12.5</v>
      </c>
      <c r="L2059">
        <v>42</v>
      </c>
      <c r="M2059">
        <f t="shared" si="32"/>
        <v>525</v>
      </c>
    </row>
    <row r="2060" spans="1:13">
      <c r="A2060" t="s">
        <v>391</v>
      </c>
      <c r="B2060" t="s">
        <v>392</v>
      </c>
      <c r="C2060" s="1">
        <v>39561</v>
      </c>
      <c r="D2060" t="s">
        <v>40</v>
      </c>
      <c r="E2060" t="s">
        <v>89</v>
      </c>
      <c r="F2060" t="s">
        <v>41</v>
      </c>
      <c r="G2060" t="s">
        <v>39</v>
      </c>
      <c r="H2060" t="s">
        <v>215</v>
      </c>
      <c r="I2060" t="s">
        <v>299</v>
      </c>
      <c r="J2060" t="s">
        <v>393</v>
      </c>
      <c r="K2060" s="2">
        <v>2.5</v>
      </c>
      <c r="L2060">
        <v>15</v>
      </c>
      <c r="M2060">
        <f t="shared" si="32"/>
        <v>37.5</v>
      </c>
    </row>
    <row r="2061" spans="1:13">
      <c r="A2061" t="s">
        <v>391</v>
      </c>
      <c r="B2061" t="s">
        <v>392</v>
      </c>
      <c r="C2061" s="1">
        <v>39516</v>
      </c>
      <c r="D2061" t="s">
        <v>62</v>
      </c>
      <c r="E2061" t="s">
        <v>89</v>
      </c>
      <c r="F2061" t="s">
        <v>63</v>
      </c>
      <c r="G2061" t="s">
        <v>39</v>
      </c>
      <c r="H2061" t="s">
        <v>215</v>
      </c>
      <c r="I2061" t="s">
        <v>299</v>
      </c>
      <c r="J2061" t="s">
        <v>393</v>
      </c>
      <c r="K2061" s="2">
        <v>38</v>
      </c>
      <c r="L2061">
        <v>18</v>
      </c>
      <c r="M2061">
        <f t="shared" si="32"/>
        <v>684</v>
      </c>
    </row>
    <row r="2062" spans="1:13">
      <c r="A2062" t="s">
        <v>391</v>
      </c>
      <c r="B2062" t="s">
        <v>392</v>
      </c>
      <c r="C2062" s="1">
        <v>39520</v>
      </c>
      <c r="D2062" t="s">
        <v>48</v>
      </c>
      <c r="E2062" t="s">
        <v>53</v>
      </c>
      <c r="F2062" t="s">
        <v>22</v>
      </c>
      <c r="G2062" t="s">
        <v>39</v>
      </c>
      <c r="H2062" t="s">
        <v>215</v>
      </c>
      <c r="I2062" t="s">
        <v>299</v>
      </c>
      <c r="J2062" t="s">
        <v>393</v>
      </c>
      <c r="K2062" s="2">
        <v>39</v>
      </c>
      <c r="L2062">
        <v>6</v>
      </c>
      <c r="M2062">
        <f t="shared" si="32"/>
        <v>234</v>
      </c>
    </row>
    <row r="2063" spans="1:13">
      <c r="A2063" t="s">
        <v>391</v>
      </c>
      <c r="B2063" t="s">
        <v>392</v>
      </c>
      <c r="C2063" s="1">
        <v>40100</v>
      </c>
      <c r="D2063" t="s">
        <v>151</v>
      </c>
      <c r="E2063" t="s">
        <v>15</v>
      </c>
      <c r="F2063" t="s">
        <v>37</v>
      </c>
      <c r="G2063" t="s">
        <v>17</v>
      </c>
      <c r="H2063" t="s">
        <v>215</v>
      </c>
      <c r="I2063" t="s">
        <v>299</v>
      </c>
      <c r="J2063" t="s">
        <v>393</v>
      </c>
      <c r="K2063" s="2">
        <v>10</v>
      </c>
      <c r="L2063">
        <v>20</v>
      </c>
      <c r="M2063">
        <f t="shared" si="32"/>
        <v>200</v>
      </c>
    </row>
    <row r="2064" spans="1:13">
      <c r="A2064" t="s">
        <v>391</v>
      </c>
      <c r="B2064" t="s">
        <v>392</v>
      </c>
      <c r="C2064" s="1">
        <v>39520</v>
      </c>
      <c r="D2064" t="s">
        <v>102</v>
      </c>
      <c r="E2064" t="s">
        <v>53</v>
      </c>
      <c r="F2064" t="s">
        <v>47</v>
      </c>
      <c r="G2064" t="s">
        <v>39</v>
      </c>
      <c r="H2064" t="s">
        <v>215</v>
      </c>
      <c r="I2064" t="s">
        <v>299</v>
      </c>
      <c r="J2064" t="s">
        <v>393</v>
      </c>
      <c r="K2064" s="2">
        <v>31</v>
      </c>
      <c r="L2064">
        <v>30</v>
      </c>
      <c r="M2064">
        <f t="shared" si="32"/>
        <v>930</v>
      </c>
    </row>
    <row r="2065" spans="1:13">
      <c r="A2065" t="s">
        <v>391</v>
      </c>
      <c r="B2065" t="s">
        <v>392</v>
      </c>
      <c r="C2065" s="1">
        <v>40100</v>
      </c>
      <c r="D2065" t="s">
        <v>86</v>
      </c>
      <c r="E2065" t="s">
        <v>15</v>
      </c>
      <c r="F2065" t="s">
        <v>54</v>
      </c>
      <c r="G2065" t="s">
        <v>17</v>
      </c>
      <c r="H2065" t="s">
        <v>215</v>
      </c>
      <c r="I2065" t="s">
        <v>299</v>
      </c>
      <c r="J2065" t="s">
        <v>393</v>
      </c>
      <c r="K2065" s="2">
        <v>34</v>
      </c>
      <c r="L2065">
        <v>50</v>
      </c>
      <c r="M2065">
        <f t="shared" si="32"/>
        <v>1700</v>
      </c>
    </row>
    <row r="2066" spans="1:13">
      <c r="A2066" t="s">
        <v>391</v>
      </c>
      <c r="B2066" t="s">
        <v>392</v>
      </c>
      <c r="C2066" s="1">
        <v>40100</v>
      </c>
      <c r="D2066" t="s">
        <v>75</v>
      </c>
      <c r="E2066" t="s">
        <v>15</v>
      </c>
      <c r="F2066" t="s">
        <v>76</v>
      </c>
      <c r="G2066" t="s">
        <v>17</v>
      </c>
      <c r="H2066" t="s">
        <v>215</v>
      </c>
      <c r="I2066" t="s">
        <v>299</v>
      </c>
      <c r="J2066" t="s">
        <v>393</v>
      </c>
      <c r="K2066" s="2">
        <v>34.799999999999997</v>
      </c>
      <c r="L2066">
        <v>35</v>
      </c>
      <c r="M2066">
        <f t="shared" si="32"/>
        <v>1218</v>
      </c>
    </row>
    <row r="2067" spans="1:13">
      <c r="A2067" t="s">
        <v>391</v>
      </c>
      <c r="B2067" t="s">
        <v>392</v>
      </c>
      <c r="C2067" s="1">
        <v>39516</v>
      </c>
      <c r="D2067" t="s">
        <v>73</v>
      </c>
      <c r="E2067" t="s">
        <v>89</v>
      </c>
      <c r="F2067" t="s">
        <v>74</v>
      </c>
      <c r="G2067" t="s">
        <v>39</v>
      </c>
      <c r="H2067" t="s">
        <v>215</v>
      </c>
      <c r="I2067" t="s">
        <v>299</v>
      </c>
      <c r="J2067" t="s">
        <v>393</v>
      </c>
      <c r="K2067" s="2">
        <v>19.45</v>
      </c>
      <c r="L2067">
        <v>18</v>
      </c>
      <c r="M2067">
        <f t="shared" si="32"/>
        <v>350.09999999999997</v>
      </c>
    </row>
    <row r="2068" spans="1:13">
      <c r="A2068" t="s">
        <v>391</v>
      </c>
      <c r="B2068" t="s">
        <v>392</v>
      </c>
      <c r="C2068" s="1">
        <v>39516</v>
      </c>
      <c r="D2068" t="s">
        <v>131</v>
      </c>
      <c r="E2068" t="s">
        <v>89</v>
      </c>
      <c r="F2068" t="s">
        <v>132</v>
      </c>
      <c r="G2068" t="s">
        <v>39</v>
      </c>
      <c r="H2068" t="s">
        <v>215</v>
      </c>
      <c r="I2068" t="s">
        <v>299</v>
      </c>
      <c r="J2068" t="s">
        <v>393</v>
      </c>
      <c r="K2068" s="2">
        <v>21</v>
      </c>
      <c r="L2068">
        <v>5</v>
      </c>
      <c r="M2068">
        <f t="shared" si="32"/>
        <v>105</v>
      </c>
    </row>
    <row r="2069" spans="1:13">
      <c r="A2069" t="s">
        <v>391</v>
      </c>
      <c r="B2069" t="s">
        <v>392</v>
      </c>
      <c r="C2069" s="1">
        <v>39554</v>
      </c>
      <c r="D2069" t="s">
        <v>98</v>
      </c>
      <c r="E2069" t="s">
        <v>21</v>
      </c>
      <c r="F2069" t="s">
        <v>99</v>
      </c>
      <c r="G2069" t="s">
        <v>39</v>
      </c>
      <c r="H2069" t="s">
        <v>215</v>
      </c>
      <c r="I2069" t="s">
        <v>299</v>
      </c>
      <c r="J2069" t="s">
        <v>393</v>
      </c>
      <c r="K2069" s="2">
        <v>4.5</v>
      </c>
      <c r="L2069">
        <v>30</v>
      </c>
      <c r="M2069">
        <f t="shared" si="32"/>
        <v>135</v>
      </c>
    </row>
    <row r="2070" spans="1:13">
      <c r="A2070" t="s">
        <v>391</v>
      </c>
      <c r="B2070" t="s">
        <v>392</v>
      </c>
      <c r="C2070" s="1">
        <v>39823</v>
      </c>
      <c r="D2070" t="s">
        <v>40</v>
      </c>
      <c r="E2070" t="s">
        <v>15</v>
      </c>
      <c r="F2070" t="s">
        <v>41</v>
      </c>
      <c r="G2070" t="s">
        <v>17</v>
      </c>
      <c r="H2070" t="s">
        <v>215</v>
      </c>
      <c r="I2070" t="s">
        <v>299</v>
      </c>
      <c r="J2070" t="s">
        <v>393</v>
      </c>
      <c r="K2070" s="2">
        <v>2</v>
      </c>
      <c r="L2070">
        <v>49</v>
      </c>
      <c r="M2070">
        <f t="shared" si="32"/>
        <v>98</v>
      </c>
    </row>
    <row r="2071" spans="1:13">
      <c r="A2071" t="s">
        <v>394</v>
      </c>
      <c r="B2071" t="s">
        <v>395</v>
      </c>
      <c r="C2071" s="1">
        <v>39716</v>
      </c>
      <c r="D2071" t="s">
        <v>124</v>
      </c>
      <c r="E2071" t="s">
        <v>21</v>
      </c>
      <c r="F2071" t="s">
        <v>125</v>
      </c>
      <c r="G2071" t="s">
        <v>17</v>
      </c>
      <c r="H2071" t="s">
        <v>396</v>
      </c>
      <c r="I2071" t="s">
        <v>397</v>
      </c>
      <c r="J2071" t="s">
        <v>398</v>
      </c>
      <c r="K2071" s="2">
        <v>4.8</v>
      </c>
      <c r="L2071">
        <v>10</v>
      </c>
      <c r="M2071">
        <f t="shared" si="32"/>
        <v>48</v>
      </c>
    </row>
    <row r="2072" spans="1:13">
      <c r="A2072" t="s">
        <v>394</v>
      </c>
      <c r="B2072" t="s">
        <v>395</v>
      </c>
      <c r="C2072" s="1">
        <v>39828</v>
      </c>
      <c r="D2072" t="s">
        <v>40</v>
      </c>
      <c r="E2072" t="s">
        <v>15</v>
      </c>
      <c r="F2072" t="s">
        <v>41</v>
      </c>
      <c r="G2072" t="s">
        <v>17</v>
      </c>
      <c r="H2072" t="s">
        <v>396</v>
      </c>
      <c r="I2072" t="s">
        <v>397</v>
      </c>
      <c r="J2072" t="s">
        <v>398</v>
      </c>
      <c r="K2072" s="2">
        <v>2</v>
      </c>
      <c r="L2072">
        <v>20</v>
      </c>
      <c r="M2072">
        <f t="shared" si="32"/>
        <v>40</v>
      </c>
    </row>
    <row r="2073" spans="1:13">
      <c r="A2073" t="s">
        <v>394</v>
      </c>
      <c r="B2073" t="s">
        <v>395</v>
      </c>
      <c r="C2073" s="1">
        <v>40064</v>
      </c>
      <c r="D2073" t="s">
        <v>136</v>
      </c>
      <c r="E2073" t="s">
        <v>67</v>
      </c>
      <c r="F2073" t="s">
        <v>35</v>
      </c>
      <c r="G2073" t="s">
        <v>17</v>
      </c>
      <c r="H2073" t="s">
        <v>396</v>
      </c>
      <c r="I2073" t="s">
        <v>397</v>
      </c>
      <c r="J2073" t="s">
        <v>398</v>
      </c>
      <c r="K2073" s="2">
        <v>81</v>
      </c>
      <c r="L2073">
        <v>21</v>
      </c>
      <c r="M2073">
        <f t="shared" si="32"/>
        <v>1701</v>
      </c>
    </row>
    <row r="2074" spans="1:13">
      <c r="A2074" t="s">
        <v>394</v>
      </c>
      <c r="B2074" t="s">
        <v>395</v>
      </c>
      <c r="C2074" s="1">
        <v>39697</v>
      </c>
      <c r="D2074" t="s">
        <v>153</v>
      </c>
      <c r="E2074" t="s">
        <v>15</v>
      </c>
      <c r="F2074" t="s">
        <v>125</v>
      </c>
      <c r="G2074" t="s">
        <v>17</v>
      </c>
      <c r="H2074" t="s">
        <v>396</v>
      </c>
      <c r="I2074" t="s">
        <v>397</v>
      </c>
      <c r="J2074" t="s">
        <v>398</v>
      </c>
      <c r="K2074" s="2">
        <v>18.600000000000001</v>
      </c>
      <c r="L2074">
        <v>15</v>
      </c>
      <c r="M2074">
        <f t="shared" si="32"/>
        <v>279</v>
      </c>
    </row>
    <row r="2075" spans="1:13">
      <c r="A2075" t="s">
        <v>394</v>
      </c>
      <c r="B2075" t="s">
        <v>395</v>
      </c>
      <c r="C2075" s="1">
        <v>39697</v>
      </c>
      <c r="D2075" t="s">
        <v>14</v>
      </c>
      <c r="E2075" t="s">
        <v>15</v>
      </c>
      <c r="F2075" t="s">
        <v>16</v>
      </c>
      <c r="G2075" t="s">
        <v>17</v>
      </c>
      <c r="H2075" t="s">
        <v>396</v>
      </c>
      <c r="I2075" t="s">
        <v>397</v>
      </c>
      <c r="J2075" t="s">
        <v>398</v>
      </c>
      <c r="K2075" s="2">
        <v>5.9</v>
      </c>
      <c r="L2075">
        <v>10</v>
      </c>
      <c r="M2075">
        <f t="shared" si="32"/>
        <v>59</v>
      </c>
    </row>
    <row r="2076" spans="1:13">
      <c r="A2076" t="s">
        <v>394</v>
      </c>
      <c r="B2076" t="s">
        <v>395</v>
      </c>
      <c r="C2076" s="1">
        <v>39716</v>
      </c>
      <c r="D2076" t="s">
        <v>38</v>
      </c>
      <c r="E2076" t="s">
        <v>21</v>
      </c>
      <c r="F2076" t="s">
        <v>29</v>
      </c>
      <c r="G2076" t="s">
        <v>17</v>
      </c>
      <c r="H2076" t="s">
        <v>396</v>
      </c>
      <c r="I2076" t="s">
        <v>397</v>
      </c>
      <c r="J2076" t="s">
        <v>398</v>
      </c>
      <c r="K2076" s="2">
        <v>39.4</v>
      </c>
      <c r="L2076">
        <v>10</v>
      </c>
      <c r="M2076">
        <f t="shared" si="32"/>
        <v>394</v>
      </c>
    </row>
    <row r="2077" spans="1:13">
      <c r="A2077" t="s">
        <v>394</v>
      </c>
      <c r="B2077" t="s">
        <v>395</v>
      </c>
      <c r="C2077" s="1">
        <v>40010</v>
      </c>
      <c r="D2077" t="s">
        <v>14</v>
      </c>
      <c r="E2077" t="s">
        <v>24</v>
      </c>
      <c r="F2077" t="s">
        <v>16</v>
      </c>
      <c r="G2077" t="s">
        <v>17</v>
      </c>
      <c r="H2077" t="s">
        <v>396</v>
      </c>
      <c r="I2077" t="s">
        <v>397</v>
      </c>
      <c r="J2077" t="s">
        <v>398</v>
      </c>
      <c r="K2077" s="2">
        <v>7.45</v>
      </c>
      <c r="L2077">
        <v>4</v>
      </c>
      <c r="M2077">
        <f t="shared" si="32"/>
        <v>29.8</v>
      </c>
    </row>
    <row r="2078" spans="1:13">
      <c r="A2078" t="s">
        <v>394</v>
      </c>
      <c r="B2078" t="s">
        <v>395</v>
      </c>
      <c r="C2078" s="1">
        <v>40010</v>
      </c>
      <c r="D2078" t="s">
        <v>65</v>
      </c>
      <c r="E2078" t="s">
        <v>24</v>
      </c>
      <c r="F2078" t="s">
        <v>58</v>
      </c>
      <c r="G2078" t="s">
        <v>17</v>
      </c>
      <c r="H2078" t="s">
        <v>396</v>
      </c>
      <c r="I2078" t="s">
        <v>397</v>
      </c>
      <c r="J2078" t="s">
        <v>398</v>
      </c>
      <c r="K2078" s="2">
        <v>15</v>
      </c>
      <c r="L2078">
        <v>30</v>
      </c>
      <c r="M2078">
        <f t="shared" si="32"/>
        <v>450</v>
      </c>
    </row>
    <row r="2079" spans="1:13">
      <c r="A2079" t="s">
        <v>394</v>
      </c>
      <c r="B2079" t="s">
        <v>395</v>
      </c>
      <c r="C2079" s="1">
        <v>39828</v>
      </c>
      <c r="D2079" t="s">
        <v>48</v>
      </c>
      <c r="E2079" t="s">
        <v>15</v>
      </c>
      <c r="F2079" t="s">
        <v>22</v>
      </c>
      <c r="G2079" t="s">
        <v>17</v>
      </c>
      <c r="H2079" t="s">
        <v>396</v>
      </c>
      <c r="I2079" t="s">
        <v>397</v>
      </c>
      <c r="J2079" t="s">
        <v>398</v>
      </c>
      <c r="K2079" s="2">
        <v>31.2</v>
      </c>
      <c r="L2079">
        <v>2</v>
      </c>
      <c r="M2079">
        <f t="shared" si="32"/>
        <v>62.4</v>
      </c>
    </row>
    <row r="2080" spans="1:13">
      <c r="A2080" t="s">
        <v>399</v>
      </c>
      <c r="B2080" t="s">
        <v>400</v>
      </c>
      <c r="C2080" s="1">
        <v>39731</v>
      </c>
      <c r="D2080" t="s">
        <v>71</v>
      </c>
      <c r="E2080" t="s">
        <v>24</v>
      </c>
      <c r="F2080" t="s">
        <v>51</v>
      </c>
      <c r="G2080" t="s">
        <v>17</v>
      </c>
      <c r="H2080" t="s">
        <v>92</v>
      </c>
      <c r="J2080" t="s">
        <v>336</v>
      </c>
      <c r="K2080" s="2">
        <v>6.2</v>
      </c>
      <c r="L2080">
        <v>50</v>
      </c>
      <c r="M2080">
        <f t="shared" si="32"/>
        <v>310</v>
      </c>
    </row>
    <row r="2081" spans="1:13">
      <c r="A2081" t="s">
        <v>399</v>
      </c>
      <c r="B2081" t="s">
        <v>400</v>
      </c>
      <c r="C2081" s="1">
        <v>39731</v>
      </c>
      <c r="D2081" t="s">
        <v>123</v>
      </c>
      <c r="E2081" t="s">
        <v>24</v>
      </c>
      <c r="F2081" t="s">
        <v>63</v>
      </c>
      <c r="G2081" t="s">
        <v>17</v>
      </c>
      <c r="H2081" t="s">
        <v>92</v>
      </c>
      <c r="J2081" t="s">
        <v>336</v>
      </c>
      <c r="K2081" s="2">
        <v>15.6</v>
      </c>
      <c r="L2081">
        <v>16</v>
      </c>
      <c r="M2081">
        <f t="shared" si="32"/>
        <v>249.6</v>
      </c>
    </row>
    <row r="2082" spans="1:13">
      <c r="A2082" t="s">
        <v>399</v>
      </c>
      <c r="B2082" t="s">
        <v>400</v>
      </c>
      <c r="C2082" s="1">
        <v>40085</v>
      </c>
      <c r="D2082" t="s">
        <v>88</v>
      </c>
      <c r="E2082" t="s">
        <v>24</v>
      </c>
      <c r="F2082" t="s">
        <v>51</v>
      </c>
      <c r="G2082" t="s">
        <v>39</v>
      </c>
      <c r="H2082" t="s">
        <v>92</v>
      </c>
      <c r="J2082" t="s">
        <v>336</v>
      </c>
      <c r="K2082" s="2">
        <v>123.79</v>
      </c>
      <c r="L2082">
        <v>20</v>
      </c>
      <c r="M2082">
        <f t="shared" si="32"/>
        <v>2475.8000000000002</v>
      </c>
    </row>
    <row r="2083" spans="1:13">
      <c r="A2083" t="s">
        <v>399</v>
      </c>
      <c r="B2083" t="s">
        <v>400</v>
      </c>
      <c r="C2083" s="1">
        <v>40085</v>
      </c>
      <c r="D2083" t="s">
        <v>48</v>
      </c>
      <c r="E2083" t="s">
        <v>24</v>
      </c>
      <c r="F2083" t="s">
        <v>22</v>
      </c>
      <c r="G2083" t="s">
        <v>39</v>
      </c>
      <c r="H2083" t="s">
        <v>92</v>
      </c>
      <c r="J2083" t="s">
        <v>336</v>
      </c>
      <c r="K2083" s="2">
        <v>39</v>
      </c>
      <c r="L2083">
        <v>40</v>
      </c>
      <c r="M2083">
        <f t="shared" si="32"/>
        <v>1560</v>
      </c>
    </row>
    <row r="2084" spans="1:13">
      <c r="A2084" t="s">
        <v>399</v>
      </c>
      <c r="B2084" t="s">
        <v>400</v>
      </c>
      <c r="C2084" s="1">
        <v>39531</v>
      </c>
      <c r="D2084" t="s">
        <v>120</v>
      </c>
      <c r="E2084" t="s">
        <v>103</v>
      </c>
      <c r="F2084" t="s">
        <v>33</v>
      </c>
      <c r="G2084" t="s">
        <v>39</v>
      </c>
      <c r="H2084" t="s">
        <v>92</v>
      </c>
      <c r="J2084" t="s">
        <v>336</v>
      </c>
      <c r="K2084" s="2">
        <v>7</v>
      </c>
      <c r="L2084">
        <v>40</v>
      </c>
      <c r="M2084">
        <f t="shared" si="32"/>
        <v>280</v>
      </c>
    </row>
    <row r="2085" spans="1:13">
      <c r="A2085" t="s">
        <v>399</v>
      </c>
      <c r="B2085" t="s">
        <v>400</v>
      </c>
      <c r="C2085" s="1">
        <v>39731</v>
      </c>
      <c r="D2085" t="s">
        <v>26</v>
      </c>
      <c r="E2085" t="s">
        <v>24</v>
      </c>
      <c r="F2085" t="s">
        <v>27</v>
      </c>
      <c r="G2085" t="s">
        <v>17</v>
      </c>
      <c r="H2085" t="s">
        <v>92</v>
      </c>
      <c r="J2085" t="s">
        <v>336</v>
      </c>
      <c r="K2085" s="2">
        <v>17.600000000000001</v>
      </c>
      <c r="L2085">
        <v>24</v>
      </c>
      <c r="M2085">
        <f t="shared" si="32"/>
        <v>422.40000000000003</v>
      </c>
    </row>
    <row r="2086" spans="1:13">
      <c r="A2086" t="s">
        <v>401</v>
      </c>
      <c r="B2086" t="s">
        <v>402</v>
      </c>
      <c r="C2086" s="1">
        <v>39988</v>
      </c>
      <c r="D2086" t="s">
        <v>44</v>
      </c>
      <c r="E2086" t="s">
        <v>24</v>
      </c>
      <c r="F2086" t="s">
        <v>45</v>
      </c>
      <c r="G2086" t="s">
        <v>17</v>
      </c>
      <c r="H2086" t="s">
        <v>167</v>
      </c>
      <c r="J2086" t="s">
        <v>168</v>
      </c>
      <c r="K2086" s="2">
        <v>18</v>
      </c>
      <c r="L2086">
        <v>20</v>
      </c>
      <c r="M2086">
        <f t="shared" si="32"/>
        <v>360</v>
      </c>
    </row>
    <row r="2087" spans="1:13">
      <c r="A2087" t="s">
        <v>401</v>
      </c>
      <c r="B2087" t="s">
        <v>402</v>
      </c>
      <c r="C2087" s="1">
        <v>39988</v>
      </c>
      <c r="D2087" t="s">
        <v>123</v>
      </c>
      <c r="E2087" t="s">
        <v>24</v>
      </c>
      <c r="F2087" t="s">
        <v>63</v>
      </c>
      <c r="G2087" t="s">
        <v>17</v>
      </c>
      <c r="H2087" t="s">
        <v>167</v>
      </c>
      <c r="J2087" t="s">
        <v>168</v>
      </c>
      <c r="K2087" s="2">
        <v>19.5</v>
      </c>
      <c r="L2087">
        <v>6</v>
      </c>
      <c r="M2087">
        <f t="shared" si="32"/>
        <v>117</v>
      </c>
    </row>
    <row r="2088" spans="1:13">
      <c r="A2088" t="s">
        <v>401</v>
      </c>
      <c r="B2088" t="s">
        <v>402</v>
      </c>
      <c r="C2088" s="1">
        <v>40009</v>
      </c>
      <c r="D2088" t="s">
        <v>38</v>
      </c>
      <c r="E2088" t="s">
        <v>89</v>
      </c>
      <c r="F2088" t="s">
        <v>29</v>
      </c>
      <c r="G2088" t="s">
        <v>17</v>
      </c>
      <c r="H2088" t="s">
        <v>167</v>
      </c>
      <c r="J2088" t="s">
        <v>168</v>
      </c>
      <c r="K2088" s="2">
        <v>49.3</v>
      </c>
      <c r="L2088">
        <v>10</v>
      </c>
      <c r="M2088">
        <f t="shared" si="32"/>
        <v>493</v>
      </c>
    </row>
    <row r="2089" spans="1:13">
      <c r="A2089" t="s">
        <v>401</v>
      </c>
      <c r="B2089" t="s">
        <v>402</v>
      </c>
      <c r="C2089" s="1">
        <v>39949</v>
      </c>
      <c r="D2089" t="s">
        <v>119</v>
      </c>
      <c r="E2089" t="s">
        <v>89</v>
      </c>
      <c r="F2089" t="s">
        <v>97</v>
      </c>
      <c r="G2089" t="s">
        <v>17</v>
      </c>
      <c r="H2089" t="s">
        <v>167</v>
      </c>
      <c r="J2089" t="s">
        <v>168</v>
      </c>
      <c r="K2089" s="2">
        <v>20</v>
      </c>
      <c r="L2089">
        <v>6</v>
      </c>
      <c r="M2089">
        <f t="shared" si="32"/>
        <v>120</v>
      </c>
    </row>
    <row r="2090" spans="1:13">
      <c r="A2090" t="s">
        <v>401</v>
      </c>
      <c r="B2090" t="s">
        <v>402</v>
      </c>
      <c r="C2090" s="1">
        <v>39949</v>
      </c>
      <c r="D2090" t="s">
        <v>40</v>
      </c>
      <c r="E2090" t="s">
        <v>89</v>
      </c>
      <c r="F2090" t="s">
        <v>41</v>
      </c>
      <c r="G2090" t="s">
        <v>17</v>
      </c>
      <c r="H2090" t="s">
        <v>167</v>
      </c>
      <c r="J2090" t="s">
        <v>168</v>
      </c>
      <c r="K2090" s="2">
        <v>2.5</v>
      </c>
      <c r="L2090">
        <v>15</v>
      </c>
      <c r="M2090">
        <f t="shared" si="32"/>
        <v>37.5</v>
      </c>
    </row>
    <row r="2091" spans="1:13">
      <c r="A2091" t="s">
        <v>401</v>
      </c>
      <c r="B2091" t="s">
        <v>402</v>
      </c>
      <c r="C2091" s="1">
        <v>39949</v>
      </c>
      <c r="D2091" t="s">
        <v>34</v>
      </c>
      <c r="E2091" t="s">
        <v>89</v>
      </c>
      <c r="F2091" t="s">
        <v>35</v>
      </c>
      <c r="G2091" t="s">
        <v>17</v>
      </c>
      <c r="H2091" t="s">
        <v>167</v>
      </c>
      <c r="J2091" t="s">
        <v>168</v>
      </c>
      <c r="K2091" s="2">
        <v>10</v>
      </c>
      <c r="L2091">
        <v>15</v>
      </c>
      <c r="M2091">
        <f t="shared" si="32"/>
        <v>150</v>
      </c>
    </row>
    <row r="2092" spans="1:13">
      <c r="A2092" t="s">
        <v>401</v>
      </c>
      <c r="B2092" t="s">
        <v>402</v>
      </c>
      <c r="C2092" s="1">
        <v>39517</v>
      </c>
      <c r="D2092" t="s">
        <v>124</v>
      </c>
      <c r="E2092" t="s">
        <v>24</v>
      </c>
      <c r="F2092" t="s">
        <v>125</v>
      </c>
      <c r="G2092" t="s">
        <v>39</v>
      </c>
      <c r="H2092" t="s">
        <v>167</v>
      </c>
      <c r="J2092" t="s">
        <v>168</v>
      </c>
      <c r="K2092" s="2">
        <v>6</v>
      </c>
      <c r="L2092">
        <v>15</v>
      </c>
      <c r="M2092">
        <f t="shared" si="32"/>
        <v>90</v>
      </c>
    </row>
    <row r="2093" spans="1:13">
      <c r="A2093" t="s">
        <v>401</v>
      </c>
      <c r="B2093" t="s">
        <v>402</v>
      </c>
      <c r="C2093" s="1">
        <v>39882</v>
      </c>
      <c r="D2093" t="s">
        <v>87</v>
      </c>
      <c r="E2093" t="s">
        <v>53</v>
      </c>
      <c r="F2093" t="s">
        <v>25</v>
      </c>
      <c r="G2093" t="s">
        <v>17</v>
      </c>
      <c r="H2093" t="s">
        <v>167</v>
      </c>
      <c r="J2093" t="s">
        <v>168</v>
      </c>
      <c r="K2093" s="2">
        <v>24</v>
      </c>
      <c r="L2093">
        <v>30</v>
      </c>
      <c r="M2093">
        <f t="shared" si="32"/>
        <v>720</v>
      </c>
    </row>
    <row r="2094" spans="1:13">
      <c r="A2094" t="s">
        <v>401</v>
      </c>
      <c r="B2094" t="s">
        <v>402</v>
      </c>
      <c r="C2094" s="1">
        <v>39882</v>
      </c>
      <c r="D2094" t="s">
        <v>62</v>
      </c>
      <c r="E2094" t="s">
        <v>53</v>
      </c>
      <c r="F2094" t="s">
        <v>63</v>
      </c>
      <c r="G2094" t="s">
        <v>17</v>
      </c>
      <c r="H2094" t="s">
        <v>167</v>
      </c>
      <c r="J2094" t="s">
        <v>168</v>
      </c>
      <c r="K2094" s="2">
        <v>30.4</v>
      </c>
      <c r="L2094">
        <v>20</v>
      </c>
      <c r="M2094">
        <f t="shared" si="32"/>
        <v>608</v>
      </c>
    </row>
    <row r="2095" spans="1:13">
      <c r="A2095" t="s">
        <v>401</v>
      </c>
      <c r="B2095" t="s">
        <v>402</v>
      </c>
      <c r="C2095" s="1">
        <v>39552</v>
      </c>
      <c r="D2095" t="s">
        <v>94</v>
      </c>
      <c r="E2095" t="s">
        <v>21</v>
      </c>
      <c r="F2095" t="s">
        <v>74</v>
      </c>
      <c r="G2095" t="s">
        <v>39</v>
      </c>
      <c r="H2095" t="s">
        <v>167</v>
      </c>
      <c r="J2095" t="s">
        <v>168</v>
      </c>
      <c r="K2095" s="2">
        <v>46</v>
      </c>
      <c r="L2095">
        <v>30</v>
      </c>
      <c r="M2095">
        <f t="shared" si="32"/>
        <v>1380</v>
      </c>
    </row>
    <row r="2096" spans="1:13">
      <c r="A2096" t="s">
        <v>401</v>
      </c>
      <c r="B2096" t="s">
        <v>402</v>
      </c>
      <c r="C2096" s="1">
        <v>39948</v>
      </c>
      <c r="D2096" t="s">
        <v>116</v>
      </c>
      <c r="E2096" t="s">
        <v>103</v>
      </c>
      <c r="F2096" t="s">
        <v>22</v>
      </c>
      <c r="G2096" t="s">
        <v>17</v>
      </c>
      <c r="H2096" t="s">
        <v>167</v>
      </c>
      <c r="J2096" t="s">
        <v>168</v>
      </c>
      <c r="K2096" s="2">
        <v>15</v>
      </c>
      <c r="L2096">
        <v>7</v>
      </c>
      <c r="M2096">
        <f t="shared" si="32"/>
        <v>105</v>
      </c>
    </row>
    <row r="2097" spans="1:13">
      <c r="A2097" t="s">
        <v>401</v>
      </c>
      <c r="B2097" t="s">
        <v>402</v>
      </c>
      <c r="C2097" s="1">
        <v>39948</v>
      </c>
      <c r="D2097" t="s">
        <v>75</v>
      </c>
      <c r="E2097" t="s">
        <v>103</v>
      </c>
      <c r="F2097" t="s">
        <v>76</v>
      </c>
      <c r="G2097" t="s">
        <v>17</v>
      </c>
      <c r="H2097" t="s">
        <v>167</v>
      </c>
      <c r="J2097" t="s">
        <v>168</v>
      </c>
      <c r="K2097" s="2">
        <v>34.799999999999997</v>
      </c>
      <c r="L2097">
        <v>1</v>
      </c>
      <c r="M2097">
        <f t="shared" si="32"/>
        <v>34.799999999999997</v>
      </c>
    </row>
    <row r="2098" spans="1:13">
      <c r="A2098" t="s">
        <v>401</v>
      </c>
      <c r="B2098" t="s">
        <v>402</v>
      </c>
      <c r="C2098" s="1">
        <v>39517</v>
      </c>
      <c r="D2098" t="s">
        <v>117</v>
      </c>
      <c r="E2098" t="s">
        <v>24</v>
      </c>
      <c r="F2098" t="s">
        <v>118</v>
      </c>
      <c r="G2098" t="s">
        <v>39</v>
      </c>
      <c r="H2098" t="s">
        <v>167</v>
      </c>
      <c r="J2098" t="s">
        <v>168</v>
      </c>
      <c r="K2098" s="2">
        <v>21</v>
      </c>
      <c r="L2098">
        <v>21</v>
      </c>
      <c r="M2098">
        <f t="shared" si="32"/>
        <v>441</v>
      </c>
    </row>
    <row r="2099" spans="1:13">
      <c r="A2099" t="s">
        <v>401</v>
      </c>
      <c r="B2099" t="s">
        <v>402</v>
      </c>
      <c r="C2099" s="1">
        <v>39949</v>
      </c>
      <c r="D2099" t="s">
        <v>124</v>
      </c>
      <c r="E2099" t="s">
        <v>89</v>
      </c>
      <c r="F2099" t="s">
        <v>125</v>
      </c>
      <c r="G2099" t="s">
        <v>17</v>
      </c>
      <c r="H2099" t="s">
        <v>167</v>
      </c>
      <c r="J2099" t="s">
        <v>168</v>
      </c>
      <c r="K2099" s="2">
        <v>6</v>
      </c>
      <c r="L2099">
        <v>8</v>
      </c>
      <c r="M2099">
        <f t="shared" si="32"/>
        <v>48</v>
      </c>
    </row>
    <row r="2100" spans="1:13">
      <c r="A2100" t="s">
        <v>401</v>
      </c>
      <c r="B2100" t="s">
        <v>402</v>
      </c>
      <c r="C2100" s="1">
        <v>39552</v>
      </c>
      <c r="D2100" t="s">
        <v>87</v>
      </c>
      <c r="E2100" t="s">
        <v>21</v>
      </c>
      <c r="F2100" t="s">
        <v>25</v>
      </c>
      <c r="G2100" t="s">
        <v>39</v>
      </c>
      <c r="H2100" t="s">
        <v>167</v>
      </c>
      <c r="J2100" t="s">
        <v>168</v>
      </c>
      <c r="K2100" s="2">
        <v>30</v>
      </c>
      <c r="L2100">
        <v>4</v>
      </c>
      <c r="M2100">
        <f t="shared" si="32"/>
        <v>120</v>
      </c>
    </row>
    <row r="2101" spans="1:13">
      <c r="A2101" t="s">
        <v>401</v>
      </c>
      <c r="B2101" t="s">
        <v>402</v>
      </c>
      <c r="C2101" s="1">
        <v>39520</v>
      </c>
      <c r="D2101" t="s">
        <v>52</v>
      </c>
      <c r="E2101" t="s">
        <v>15</v>
      </c>
      <c r="F2101" t="s">
        <v>54</v>
      </c>
      <c r="G2101" t="s">
        <v>39</v>
      </c>
      <c r="H2101" t="s">
        <v>167</v>
      </c>
      <c r="J2101" t="s">
        <v>168</v>
      </c>
      <c r="K2101" s="2">
        <v>55</v>
      </c>
      <c r="L2101">
        <v>4</v>
      </c>
      <c r="M2101">
        <f t="shared" si="32"/>
        <v>220</v>
      </c>
    </row>
    <row r="2102" spans="1:13">
      <c r="A2102" t="s">
        <v>401</v>
      </c>
      <c r="B2102" t="s">
        <v>402</v>
      </c>
      <c r="C2102" s="1">
        <v>39896</v>
      </c>
      <c r="D2102" t="s">
        <v>185</v>
      </c>
      <c r="E2102" t="s">
        <v>15</v>
      </c>
      <c r="F2102" t="s">
        <v>134</v>
      </c>
      <c r="G2102" t="s">
        <v>17</v>
      </c>
      <c r="H2102" t="s">
        <v>167</v>
      </c>
      <c r="J2102" t="s">
        <v>168</v>
      </c>
      <c r="K2102" s="2">
        <v>14.7</v>
      </c>
      <c r="L2102">
        <v>10</v>
      </c>
      <c r="M2102">
        <f t="shared" si="32"/>
        <v>147</v>
      </c>
    </row>
    <row r="2103" spans="1:13">
      <c r="A2103" t="s">
        <v>401</v>
      </c>
      <c r="B2103" t="s">
        <v>402</v>
      </c>
      <c r="C2103" s="1">
        <v>39896</v>
      </c>
      <c r="D2103" t="s">
        <v>34</v>
      </c>
      <c r="E2103" t="s">
        <v>15</v>
      </c>
      <c r="F2103" t="s">
        <v>35</v>
      </c>
      <c r="G2103" t="s">
        <v>17</v>
      </c>
      <c r="H2103" t="s">
        <v>167</v>
      </c>
      <c r="J2103" t="s">
        <v>168</v>
      </c>
      <c r="K2103" s="2">
        <v>8</v>
      </c>
      <c r="L2103">
        <v>14</v>
      </c>
      <c r="M2103">
        <f t="shared" si="32"/>
        <v>112</v>
      </c>
    </row>
    <row r="2104" spans="1:13">
      <c r="A2104" t="s">
        <v>401</v>
      </c>
      <c r="B2104" t="s">
        <v>402</v>
      </c>
      <c r="C2104" s="1">
        <v>39686</v>
      </c>
      <c r="D2104" t="s">
        <v>147</v>
      </c>
      <c r="E2104" t="s">
        <v>50</v>
      </c>
      <c r="F2104" t="s">
        <v>51</v>
      </c>
      <c r="G2104" t="s">
        <v>17</v>
      </c>
      <c r="H2104" t="s">
        <v>167</v>
      </c>
      <c r="J2104" t="s">
        <v>168</v>
      </c>
      <c r="K2104" s="2">
        <v>26.6</v>
      </c>
      <c r="L2104">
        <v>9</v>
      </c>
      <c r="M2104">
        <f t="shared" si="32"/>
        <v>239.4</v>
      </c>
    </row>
    <row r="2105" spans="1:13">
      <c r="A2105" t="s">
        <v>401</v>
      </c>
      <c r="B2105" t="s">
        <v>402</v>
      </c>
      <c r="C2105" s="1">
        <v>39896</v>
      </c>
      <c r="D2105" t="s">
        <v>85</v>
      </c>
      <c r="E2105" t="s">
        <v>15</v>
      </c>
      <c r="F2105" t="s">
        <v>33</v>
      </c>
      <c r="G2105" t="s">
        <v>17</v>
      </c>
      <c r="H2105" t="s">
        <v>167</v>
      </c>
      <c r="J2105" t="s">
        <v>168</v>
      </c>
      <c r="K2105" s="2">
        <v>42.4</v>
      </c>
      <c r="L2105">
        <v>3</v>
      </c>
      <c r="M2105">
        <f t="shared" si="32"/>
        <v>127.19999999999999</v>
      </c>
    </row>
    <row r="2106" spans="1:13">
      <c r="A2106" t="s">
        <v>401</v>
      </c>
      <c r="B2106" t="s">
        <v>402</v>
      </c>
      <c r="C2106" s="1">
        <v>39686</v>
      </c>
      <c r="D2106" t="s">
        <v>151</v>
      </c>
      <c r="E2106" t="s">
        <v>50</v>
      </c>
      <c r="F2106" t="s">
        <v>37</v>
      </c>
      <c r="G2106" t="s">
        <v>17</v>
      </c>
      <c r="H2106" t="s">
        <v>167</v>
      </c>
      <c r="J2106" t="s">
        <v>168</v>
      </c>
      <c r="K2106" s="2">
        <v>8</v>
      </c>
      <c r="L2106">
        <v>30</v>
      </c>
      <c r="M2106">
        <f t="shared" si="32"/>
        <v>240</v>
      </c>
    </row>
    <row r="2107" spans="1:13">
      <c r="A2107" t="s">
        <v>401</v>
      </c>
      <c r="B2107" t="s">
        <v>402</v>
      </c>
      <c r="C2107" s="1">
        <v>39517</v>
      </c>
      <c r="D2107" t="s">
        <v>70</v>
      </c>
      <c r="E2107" t="s">
        <v>24</v>
      </c>
      <c r="F2107" t="s">
        <v>61</v>
      </c>
      <c r="G2107" t="s">
        <v>39</v>
      </c>
      <c r="H2107" t="s">
        <v>167</v>
      </c>
      <c r="J2107" t="s">
        <v>168</v>
      </c>
      <c r="K2107" s="2">
        <v>12</v>
      </c>
      <c r="L2107">
        <v>15</v>
      </c>
      <c r="M2107">
        <f t="shared" si="32"/>
        <v>180</v>
      </c>
    </row>
    <row r="2108" spans="1:13">
      <c r="A2108" t="s">
        <v>403</v>
      </c>
      <c r="B2108" t="s">
        <v>404</v>
      </c>
      <c r="C2108" s="1">
        <v>39820</v>
      </c>
      <c r="D2108" t="s">
        <v>131</v>
      </c>
      <c r="E2108" t="s">
        <v>53</v>
      </c>
      <c r="F2108" t="s">
        <v>132</v>
      </c>
      <c r="G2108" t="s">
        <v>17</v>
      </c>
      <c r="H2108" t="s">
        <v>199</v>
      </c>
      <c r="J2108" t="s">
        <v>351</v>
      </c>
      <c r="K2108" s="2">
        <v>16.8</v>
      </c>
      <c r="L2108">
        <v>30</v>
      </c>
      <c r="M2108">
        <f t="shared" si="32"/>
        <v>504</v>
      </c>
    </row>
    <row r="2109" spans="1:13">
      <c r="A2109" t="s">
        <v>403</v>
      </c>
      <c r="B2109" t="s">
        <v>404</v>
      </c>
      <c r="C2109" s="1">
        <v>39820</v>
      </c>
      <c r="D2109" t="s">
        <v>43</v>
      </c>
      <c r="E2109" t="s">
        <v>53</v>
      </c>
      <c r="F2109" t="s">
        <v>41</v>
      </c>
      <c r="G2109" t="s">
        <v>17</v>
      </c>
      <c r="H2109" t="s">
        <v>199</v>
      </c>
      <c r="J2109" t="s">
        <v>351</v>
      </c>
      <c r="K2109" s="2">
        <v>28.8</v>
      </c>
      <c r="L2109">
        <v>15</v>
      </c>
      <c r="M2109">
        <f t="shared" si="32"/>
        <v>432</v>
      </c>
    </row>
    <row r="2110" spans="1:13">
      <c r="A2110" t="s">
        <v>403</v>
      </c>
      <c r="B2110" t="s">
        <v>404</v>
      </c>
      <c r="C2110" s="1">
        <v>39820</v>
      </c>
      <c r="D2110" t="s">
        <v>121</v>
      </c>
      <c r="E2110" t="s">
        <v>53</v>
      </c>
      <c r="F2110" t="s">
        <v>41</v>
      </c>
      <c r="G2110" t="s">
        <v>17</v>
      </c>
      <c r="H2110" t="s">
        <v>199</v>
      </c>
      <c r="J2110" t="s">
        <v>351</v>
      </c>
      <c r="K2110" s="2">
        <v>17.2</v>
      </c>
      <c r="L2110">
        <v>15</v>
      </c>
      <c r="M2110">
        <f t="shared" si="32"/>
        <v>258</v>
      </c>
    </row>
    <row r="2111" spans="1:13">
      <c r="A2111" t="s">
        <v>403</v>
      </c>
      <c r="B2111" t="s">
        <v>404</v>
      </c>
      <c r="C2111" s="1">
        <v>40061</v>
      </c>
      <c r="D2111" t="s">
        <v>36</v>
      </c>
      <c r="E2111" t="s">
        <v>24</v>
      </c>
      <c r="F2111" t="s">
        <v>37</v>
      </c>
      <c r="G2111" t="s">
        <v>39</v>
      </c>
      <c r="H2111" t="s">
        <v>199</v>
      </c>
      <c r="J2111" t="s">
        <v>351</v>
      </c>
      <c r="K2111" s="2">
        <v>19</v>
      </c>
      <c r="L2111">
        <v>40</v>
      </c>
      <c r="M2111">
        <f t="shared" si="32"/>
        <v>760</v>
      </c>
    </row>
    <row r="2112" spans="1:13">
      <c r="A2112" t="s">
        <v>403</v>
      </c>
      <c r="B2112" t="s">
        <v>404</v>
      </c>
      <c r="C2112" s="1">
        <v>39919</v>
      </c>
      <c r="D2112" t="s">
        <v>109</v>
      </c>
      <c r="E2112" t="s">
        <v>21</v>
      </c>
      <c r="F2112" t="s">
        <v>56</v>
      </c>
      <c r="G2112" t="s">
        <v>17</v>
      </c>
      <c r="H2112" t="s">
        <v>199</v>
      </c>
      <c r="J2112" t="s">
        <v>351</v>
      </c>
      <c r="K2112" s="2">
        <v>18</v>
      </c>
      <c r="L2112">
        <v>10</v>
      </c>
      <c r="M2112">
        <f t="shared" si="32"/>
        <v>180</v>
      </c>
    </row>
    <row r="2113" spans="1:13">
      <c r="A2113" t="s">
        <v>403</v>
      </c>
      <c r="B2113" t="s">
        <v>404</v>
      </c>
      <c r="C2113" s="1">
        <v>40061</v>
      </c>
      <c r="D2113" t="s">
        <v>87</v>
      </c>
      <c r="E2113" t="s">
        <v>24</v>
      </c>
      <c r="F2113" t="s">
        <v>25</v>
      </c>
      <c r="G2113" t="s">
        <v>39</v>
      </c>
      <c r="H2113" t="s">
        <v>199</v>
      </c>
      <c r="J2113" t="s">
        <v>351</v>
      </c>
      <c r="K2113" s="2">
        <v>30</v>
      </c>
      <c r="L2113">
        <v>35</v>
      </c>
      <c r="M2113">
        <f t="shared" si="32"/>
        <v>1050</v>
      </c>
    </row>
    <row r="2114" spans="1:13">
      <c r="A2114" t="s">
        <v>403</v>
      </c>
      <c r="B2114" t="s">
        <v>404</v>
      </c>
      <c r="C2114" s="1">
        <v>40061</v>
      </c>
      <c r="D2114" t="s">
        <v>82</v>
      </c>
      <c r="E2114" t="s">
        <v>24</v>
      </c>
      <c r="F2114" t="s">
        <v>35</v>
      </c>
      <c r="G2114" t="s">
        <v>39</v>
      </c>
      <c r="H2114" t="s">
        <v>199</v>
      </c>
      <c r="J2114" t="s">
        <v>351</v>
      </c>
      <c r="K2114" s="2">
        <v>12.5</v>
      </c>
      <c r="L2114">
        <v>40</v>
      </c>
      <c r="M2114">
        <f t="shared" si="32"/>
        <v>500</v>
      </c>
    </row>
    <row r="2115" spans="1:13">
      <c r="A2115" t="s">
        <v>403</v>
      </c>
      <c r="B2115" t="s">
        <v>404</v>
      </c>
      <c r="C2115" s="1">
        <v>39990</v>
      </c>
      <c r="D2115" t="s">
        <v>153</v>
      </c>
      <c r="E2115" t="s">
        <v>24</v>
      </c>
      <c r="F2115" t="s">
        <v>125</v>
      </c>
      <c r="G2115" t="s">
        <v>17</v>
      </c>
      <c r="H2115" t="s">
        <v>199</v>
      </c>
      <c r="J2115" t="s">
        <v>351</v>
      </c>
      <c r="K2115" s="2">
        <v>23.25</v>
      </c>
      <c r="L2115">
        <v>15</v>
      </c>
      <c r="M2115">
        <f t="shared" ref="M2115:M2156" si="33">K2115*L2115</f>
        <v>348.75</v>
      </c>
    </row>
    <row r="2116" spans="1:13">
      <c r="A2116" t="s">
        <v>403</v>
      </c>
      <c r="B2116" t="s">
        <v>404</v>
      </c>
      <c r="C2116" s="1">
        <v>39552</v>
      </c>
      <c r="D2116" t="s">
        <v>102</v>
      </c>
      <c r="E2116" t="s">
        <v>53</v>
      </c>
      <c r="F2116" t="s">
        <v>47</v>
      </c>
      <c r="G2116" t="s">
        <v>39</v>
      </c>
      <c r="H2116" t="s">
        <v>199</v>
      </c>
      <c r="J2116" t="s">
        <v>351</v>
      </c>
      <c r="K2116" s="2">
        <v>31</v>
      </c>
      <c r="L2116">
        <v>24</v>
      </c>
      <c r="M2116">
        <f t="shared" si="33"/>
        <v>744</v>
      </c>
    </row>
    <row r="2117" spans="1:13">
      <c r="A2117" t="s">
        <v>403</v>
      </c>
      <c r="B2117" t="s">
        <v>404</v>
      </c>
      <c r="C2117" s="1">
        <v>39919</v>
      </c>
      <c r="D2117" t="s">
        <v>124</v>
      </c>
      <c r="E2117" t="s">
        <v>21</v>
      </c>
      <c r="F2117" t="s">
        <v>125</v>
      </c>
      <c r="G2117" t="s">
        <v>17</v>
      </c>
      <c r="H2117" t="s">
        <v>199</v>
      </c>
      <c r="J2117" t="s">
        <v>351</v>
      </c>
      <c r="K2117" s="2">
        <v>6</v>
      </c>
      <c r="L2117">
        <v>10</v>
      </c>
      <c r="M2117">
        <f t="shared" si="33"/>
        <v>60</v>
      </c>
    </row>
    <row r="2118" spans="1:13">
      <c r="A2118" t="s">
        <v>403</v>
      </c>
      <c r="B2118" t="s">
        <v>404</v>
      </c>
      <c r="C2118" s="1">
        <v>40082</v>
      </c>
      <c r="D2118" t="s">
        <v>170</v>
      </c>
      <c r="E2118" t="s">
        <v>15</v>
      </c>
      <c r="F2118" t="s">
        <v>101</v>
      </c>
      <c r="G2118" t="s">
        <v>17</v>
      </c>
      <c r="H2118" t="s">
        <v>199</v>
      </c>
      <c r="J2118" t="s">
        <v>351</v>
      </c>
      <c r="K2118" s="2">
        <v>9.5</v>
      </c>
      <c r="L2118">
        <v>40</v>
      </c>
      <c r="M2118">
        <f t="shared" si="33"/>
        <v>380</v>
      </c>
    </row>
    <row r="2119" spans="1:13">
      <c r="A2119" t="s">
        <v>403</v>
      </c>
      <c r="B2119" t="s">
        <v>404</v>
      </c>
      <c r="C2119" s="1">
        <v>39963</v>
      </c>
      <c r="D2119" t="s">
        <v>20</v>
      </c>
      <c r="E2119" t="s">
        <v>24</v>
      </c>
      <c r="F2119" t="s">
        <v>22</v>
      </c>
      <c r="G2119" t="s">
        <v>17</v>
      </c>
      <c r="H2119" t="s">
        <v>199</v>
      </c>
      <c r="J2119" t="s">
        <v>351</v>
      </c>
      <c r="K2119" s="2">
        <v>17.45</v>
      </c>
      <c r="L2119">
        <v>30</v>
      </c>
      <c r="M2119">
        <f t="shared" si="33"/>
        <v>523.5</v>
      </c>
    </row>
    <row r="2120" spans="1:13">
      <c r="A2120" t="s">
        <v>403</v>
      </c>
      <c r="B2120" t="s">
        <v>404</v>
      </c>
      <c r="C2120" s="1">
        <v>39963</v>
      </c>
      <c r="D2120" t="s">
        <v>130</v>
      </c>
      <c r="E2120" t="s">
        <v>24</v>
      </c>
      <c r="F2120" t="s">
        <v>118</v>
      </c>
      <c r="G2120" t="s">
        <v>17</v>
      </c>
      <c r="H2120" t="s">
        <v>199</v>
      </c>
      <c r="J2120" t="s">
        <v>351</v>
      </c>
      <c r="K2120" s="2">
        <v>9</v>
      </c>
      <c r="L2120">
        <v>20</v>
      </c>
      <c r="M2120">
        <f t="shared" si="33"/>
        <v>180</v>
      </c>
    </row>
    <row r="2121" spans="1:13">
      <c r="A2121" t="s">
        <v>403</v>
      </c>
      <c r="B2121" t="s">
        <v>404</v>
      </c>
      <c r="C2121" s="1">
        <v>39963</v>
      </c>
      <c r="D2121" t="s">
        <v>38</v>
      </c>
      <c r="E2121" t="s">
        <v>24</v>
      </c>
      <c r="F2121" t="s">
        <v>29</v>
      </c>
      <c r="G2121" t="s">
        <v>17</v>
      </c>
      <c r="H2121" t="s">
        <v>199</v>
      </c>
      <c r="J2121" t="s">
        <v>351</v>
      </c>
      <c r="K2121" s="2">
        <v>49.3</v>
      </c>
      <c r="L2121">
        <v>20</v>
      </c>
      <c r="M2121">
        <f t="shared" si="33"/>
        <v>986</v>
      </c>
    </row>
    <row r="2122" spans="1:13">
      <c r="A2122" t="s">
        <v>403</v>
      </c>
      <c r="B2122" t="s">
        <v>404</v>
      </c>
      <c r="C2122" s="1">
        <v>39963</v>
      </c>
      <c r="D2122" t="s">
        <v>49</v>
      </c>
      <c r="E2122" t="s">
        <v>24</v>
      </c>
      <c r="F2122" t="s">
        <v>51</v>
      </c>
      <c r="G2122" t="s">
        <v>17</v>
      </c>
      <c r="H2122" t="s">
        <v>199</v>
      </c>
      <c r="J2122" t="s">
        <v>351</v>
      </c>
      <c r="K2122" s="2">
        <v>13</v>
      </c>
      <c r="L2122">
        <v>10</v>
      </c>
      <c r="M2122">
        <f t="shared" si="33"/>
        <v>130</v>
      </c>
    </row>
    <row r="2123" spans="1:13">
      <c r="A2123" t="s">
        <v>403</v>
      </c>
      <c r="B2123" t="s">
        <v>404</v>
      </c>
      <c r="C2123" s="1">
        <v>39462</v>
      </c>
      <c r="D2123" t="s">
        <v>87</v>
      </c>
      <c r="E2123" t="s">
        <v>89</v>
      </c>
      <c r="F2123" t="s">
        <v>25</v>
      </c>
      <c r="G2123" t="s">
        <v>39</v>
      </c>
      <c r="H2123" t="s">
        <v>199</v>
      </c>
      <c r="J2123" t="s">
        <v>351</v>
      </c>
      <c r="K2123" s="2">
        <v>30</v>
      </c>
      <c r="L2123">
        <v>20</v>
      </c>
      <c r="M2123">
        <f t="shared" si="33"/>
        <v>600</v>
      </c>
    </row>
    <row r="2124" spans="1:13">
      <c r="A2124" t="s">
        <v>403</v>
      </c>
      <c r="B2124" t="s">
        <v>404</v>
      </c>
      <c r="C2124" s="1">
        <v>39462</v>
      </c>
      <c r="D2124" t="s">
        <v>137</v>
      </c>
      <c r="E2124" t="s">
        <v>89</v>
      </c>
      <c r="F2124" t="s">
        <v>76</v>
      </c>
      <c r="G2124" t="s">
        <v>39</v>
      </c>
      <c r="H2124" t="s">
        <v>199</v>
      </c>
      <c r="J2124" t="s">
        <v>351</v>
      </c>
      <c r="K2124" s="2">
        <v>12.5</v>
      </c>
      <c r="L2124">
        <v>9</v>
      </c>
      <c r="M2124">
        <f t="shared" si="33"/>
        <v>112.5</v>
      </c>
    </row>
    <row r="2125" spans="1:13">
      <c r="A2125" t="s">
        <v>403</v>
      </c>
      <c r="B2125" t="s">
        <v>404</v>
      </c>
      <c r="C2125" s="1">
        <v>39648</v>
      </c>
      <c r="D2125" t="s">
        <v>133</v>
      </c>
      <c r="E2125" t="s">
        <v>24</v>
      </c>
      <c r="F2125" t="s">
        <v>134</v>
      </c>
      <c r="G2125" t="s">
        <v>17</v>
      </c>
      <c r="H2125" t="s">
        <v>199</v>
      </c>
      <c r="J2125" t="s">
        <v>351</v>
      </c>
      <c r="K2125" s="2">
        <v>7.7</v>
      </c>
      <c r="L2125">
        <v>16</v>
      </c>
      <c r="M2125">
        <f t="shared" si="33"/>
        <v>123.2</v>
      </c>
    </row>
    <row r="2126" spans="1:13">
      <c r="A2126" t="s">
        <v>403</v>
      </c>
      <c r="B2126" t="s">
        <v>404</v>
      </c>
      <c r="C2126" s="1">
        <v>39648</v>
      </c>
      <c r="D2126" t="s">
        <v>123</v>
      </c>
      <c r="E2126" t="s">
        <v>24</v>
      </c>
      <c r="F2126" t="s">
        <v>63</v>
      </c>
      <c r="G2126" t="s">
        <v>17</v>
      </c>
      <c r="H2126" t="s">
        <v>199</v>
      </c>
      <c r="J2126" t="s">
        <v>351</v>
      </c>
      <c r="K2126" s="2">
        <v>15.6</v>
      </c>
      <c r="L2126">
        <v>50</v>
      </c>
      <c r="M2126">
        <f t="shared" si="33"/>
        <v>780</v>
      </c>
    </row>
    <row r="2127" spans="1:13">
      <c r="A2127" t="s">
        <v>403</v>
      </c>
      <c r="B2127" t="s">
        <v>404</v>
      </c>
      <c r="C2127" s="1">
        <v>39648</v>
      </c>
      <c r="D2127" t="s">
        <v>38</v>
      </c>
      <c r="E2127" t="s">
        <v>24</v>
      </c>
      <c r="F2127" t="s">
        <v>29</v>
      </c>
      <c r="G2127" t="s">
        <v>17</v>
      </c>
      <c r="H2127" t="s">
        <v>199</v>
      </c>
      <c r="J2127" t="s">
        <v>351</v>
      </c>
      <c r="K2127" s="2">
        <v>39.4</v>
      </c>
      <c r="L2127">
        <v>15</v>
      </c>
      <c r="M2127">
        <f t="shared" si="33"/>
        <v>591</v>
      </c>
    </row>
    <row r="2128" spans="1:13">
      <c r="A2128" t="s">
        <v>403</v>
      </c>
      <c r="B2128" t="s">
        <v>404</v>
      </c>
      <c r="C2128" s="1">
        <v>39990</v>
      </c>
      <c r="D2128" t="s">
        <v>95</v>
      </c>
      <c r="E2128" t="s">
        <v>24</v>
      </c>
      <c r="F2128" t="s">
        <v>27</v>
      </c>
      <c r="G2128" t="s">
        <v>17</v>
      </c>
      <c r="H2128" t="s">
        <v>199</v>
      </c>
      <c r="J2128" t="s">
        <v>351</v>
      </c>
      <c r="K2128" s="2">
        <v>21.05</v>
      </c>
      <c r="L2128">
        <v>30</v>
      </c>
      <c r="M2128">
        <f t="shared" si="33"/>
        <v>631.5</v>
      </c>
    </row>
    <row r="2129" spans="1:13">
      <c r="A2129" t="s">
        <v>403</v>
      </c>
      <c r="B2129" t="s">
        <v>404</v>
      </c>
      <c r="C2129" s="1">
        <v>40082</v>
      </c>
      <c r="D2129" t="s">
        <v>86</v>
      </c>
      <c r="E2129" t="s">
        <v>15</v>
      </c>
      <c r="F2129" t="s">
        <v>54</v>
      </c>
      <c r="G2129" t="s">
        <v>17</v>
      </c>
      <c r="H2129" t="s">
        <v>199</v>
      </c>
      <c r="J2129" t="s">
        <v>351</v>
      </c>
      <c r="K2129" s="2">
        <v>34</v>
      </c>
      <c r="L2129">
        <v>30</v>
      </c>
      <c r="M2129">
        <f t="shared" si="33"/>
        <v>1020</v>
      </c>
    </row>
    <row r="2130" spans="1:13">
      <c r="A2130" t="s">
        <v>403</v>
      </c>
      <c r="B2130" t="s">
        <v>404</v>
      </c>
      <c r="C2130" s="1">
        <v>40082</v>
      </c>
      <c r="D2130" t="s">
        <v>185</v>
      </c>
      <c r="E2130" t="s">
        <v>15</v>
      </c>
      <c r="F2130" t="s">
        <v>134</v>
      </c>
      <c r="G2130" t="s">
        <v>17</v>
      </c>
      <c r="H2130" t="s">
        <v>199</v>
      </c>
      <c r="J2130" t="s">
        <v>351</v>
      </c>
      <c r="K2130" s="2">
        <v>18.399999999999999</v>
      </c>
      <c r="L2130">
        <v>20</v>
      </c>
      <c r="M2130">
        <f t="shared" si="33"/>
        <v>368</v>
      </c>
    </row>
    <row r="2131" spans="1:13">
      <c r="A2131" t="s">
        <v>403</v>
      </c>
      <c r="B2131" t="s">
        <v>404</v>
      </c>
      <c r="C2131" s="1">
        <v>39541</v>
      </c>
      <c r="D2131" t="s">
        <v>133</v>
      </c>
      <c r="E2131" t="s">
        <v>89</v>
      </c>
      <c r="F2131" t="s">
        <v>134</v>
      </c>
      <c r="G2131" t="s">
        <v>39</v>
      </c>
      <c r="H2131" t="s">
        <v>199</v>
      </c>
      <c r="J2131" t="s">
        <v>351</v>
      </c>
      <c r="K2131" s="2">
        <v>9.65</v>
      </c>
      <c r="L2131">
        <v>20</v>
      </c>
      <c r="M2131">
        <f t="shared" si="33"/>
        <v>193</v>
      </c>
    </row>
    <row r="2132" spans="1:13">
      <c r="A2132" t="s">
        <v>403</v>
      </c>
      <c r="B2132" t="s">
        <v>404</v>
      </c>
      <c r="C2132" s="1">
        <v>39541</v>
      </c>
      <c r="D2132" t="s">
        <v>49</v>
      </c>
      <c r="E2132" t="s">
        <v>89</v>
      </c>
      <c r="F2132" t="s">
        <v>51</v>
      </c>
      <c r="G2132" t="s">
        <v>39</v>
      </c>
      <c r="H2132" t="s">
        <v>199</v>
      </c>
      <c r="J2132" t="s">
        <v>351</v>
      </c>
      <c r="K2132" s="2">
        <v>13</v>
      </c>
      <c r="L2132">
        <v>21</v>
      </c>
      <c r="M2132">
        <f t="shared" si="33"/>
        <v>273</v>
      </c>
    </row>
    <row r="2133" spans="1:13">
      <c r="A2133" t="s">
        <v>403</v>
      </c>
      <c r="B2133" t="s">
        <v>404</v>
      </c>
      <c r="C2133" s="1">
        <v>39990</v>
      </c>
      <c r="D2133" t="s">
        <v>133</v>
      </c>
      <c r="E2133" t="s">
        <v>24</v>
      </c>
      <c r="F2133" t="s">
        <v>134</v>
      </c>
      <c r="G2133" t="s">
        <v>17</v>
      </c>
      <c r="H2133" t="s">
        <v>199</v>
      </c>
      <c r="J2133" t="s">
        <v>351</v>
      </c>
      <c r="K2133" s="2">
        <v>9.65</v>
      </c>
      <c r="L2133">
        <v>9</v>
      </c>
      <c r="M2133">
        <f t="shared" si="33"/>
        <v>86.850000000000009</v>
      </c>
    </row>
    <row r="2134" spans="1:13">
      <c r="A2134" t="s">
        <v>403</v>
      </c>
      <c r="B2134" t="s">
        <v>404</v>
      </c>
      <c r="C2134" s="1">
        <v>39462</v>
      </c>
      <c r="D2134" t="s">
        <v>32</v>
      </c>
      <c r="E2134" t="s">
        <v>89</v>
      </c>
      <c r="F2134" t="s">
        <v>33</v>
      </c>
      <c r="G2134" t="s">
        <v>39</v>
      </c>
      <c r="H2134" t="s">
        <v>199</v>
      </c>
      <c r="J2134" t="s">
        <v>351</v>
      </c>
      <c r="K2134" s="2">
        <v>32.799999999999997</v>
      </c>
      <c r="L2134">
        <v>9</v>
      </c>
      <c r="M2134">
        <f t="shared" si="33"/>
        <v>295.2</v>
      </c>
    </row>
    <row r="2135" spans="1:13">
      <c r="A2135" t="s">
        <v>403</v>
      </c>
      <c r="B2135" t="s">
        <v>404</v>
      </c>
      <c r="C2135" s="1">
        <v>39648</v>
      </c>
      <c r="D2135" t="s">
        <v>116</v>
      </c>
      <c r="E2135" t="s">
        <v>24</v>
      </c>
      <c r="F2135" t="s">
        <v>22</v>
      </c>
      <c r="G2135" t="s">
        <v>17</v>
      </c>
      <c r="H2135" t="s">
        <v>199</v>
      </c>
      <c r="J2135" t="s">
        <v>351</v>
      </c>
      <c r="K2135" s="2">
        <v>12</v>
      </c>
      <c r="L2135">
        <v>21</v>
      </c>
      <c r="M2135">
        <f t="shared" si="33"/>
        <v>252</v>
      </c>
    </row>
    <row r="2136" spans="1:13">
      <c r="A2136" t="s">
        <v>403</v>
      </c>
      <c r="B2136" t="s">
        <v>404</v>
      </c>
      <c r="C2136" s="1">
        <v>39541</v>
      </c>
      <c r="D2136" t="s">
        <v>85</v>
      </c>
      <c r="E2136" t="s">
        <v>89</v>
      </c>
      <c r="F2136" t="s">
        <v>33</v>
      </c>
      <c r="G2136" t="s">
        <v>39</v>
      </c>
      <c r="H2136" t="s">
        <v>199</v>
      </c>
      <c r="J2136" t="s">
        <v>351</v>
      </c>
      <c r="K2136" s="2">
        <v>53</v>
      </c>
      <c r="L2136">
        <v>15</v>
      </c>
      <c r="M2136">
        <f t="shared" si="33"/>
        <v>795</v>
      </c>
    </row>
    <row r="2137" spans="1:13">
      <c r="A2137" t="s">
        <v>405</v>
      </c>
      <c r="B2137" t="s">
        <v>406</v>
      </c>
      <c r="C2137" s="1">
        <v>39954</v>
      </c>
      <c r="D2137" t="s">
        <v>77</v>
      </c>
      <c r="E2137" t="s">
        <v>24</v>
      </c>
      <c r="F2137" t="s">
        <v>51</v>
      </c>
      <c r="G2137" t="s">
        <v>17</v>
      </c>
      <c r="H2137" t="s">
        <v>145</v>
      </c>
      <c r="J2137" t="s">
        <v>407</v>
      </c>
      <c r="K2137" s="2">
        <v>45.6</v>
      </c>
      <c r="L2137">
        <v>7</v>
      </c>
      <c r="M2137">
        <f t="shared" si="33"/>
        <v>319.2</v>
      </c>
    </row>
    <row r="2138" spans="1:13">
      <c r="A2138" t="s">
        <v>405</v>
      </c>
      <c r="B2138" t="s">
        <v>406</v>
      </c>
      <c r="C2138" s="1">
        <v>39708</v>
      </c>
      <c r="D2138" t="s">
        <v>82</v>
      </c>
      <c r="E2138" t="s">
        <v>53</v>
      </c>
      <c r="F2138" t="s">
        <v>35</v>
      </c>
      <c r="G2138" t="s">
        <v>17</v>
      </c>
      <c r="H2138" t="s">
        <v>145</v>
      </c>
      <c r="J2138" t="s">
        <v>407</v>
      </c>
      <c r="K2138" s="2">
        <v>10</v>
      </c>
      <c r="L2138">
        <v>3</v>
      </c>
      <c r="M2138">
        <f t="shared" si="33"/>
        <v>30</v>
      </c>
    </row>
    <row r="2139" spans="1:13">
      <c r="A2139" t="s">
        <v>405</v>
      </c>
      <c r="B2139" t="s">
        <v>406</v>
      </c>
      <c r="C2139" s="1">
        <v>39708</v>
      </c>
      <c r="D2139" t="s">
        <v>38</v>
      </c>
      <c r="E2139" t="s">
        <v>53</v>
      </c>
      <c r="F2139" t="s">
        <v>29</v>
      </c>
      <c r="G2139" t="s">
        <v>17</v>
      </c>
      <c r="H2139" t="s">
        <v>145</v>
      </c>
      <c r="J2139" t="s">
        <v>407</v>
      </c>
      <c r="K2139" s="2">
        <v>39.4</v>
      </c>
      <c r="L2139">
        <v>10</v>
      </c>
      <c r="M2139">
        <f t="shared" si="33"/>
        <v>394</v>
      </c>
    </row>
    <row r="2140" spans="1:13">
      <c r="A2140" t="s">
        <v>405</v>
      </c>
      <c r="B2140" t="s">
        <v>406</v>
      </c>
      <c r="C2140" s="1">
        <v>39551</v>
      </c>
      <c r="D2140" t="s">
        <v>42</v>
      </c>
      <c r="E2140" t="s">
        <v>24</v>
      </c>
      <c r="F2140" t="s">
        <v>22</v>
      </c>
      <c r="G2140" t="s">
        <v>39</v>
      </c>
      <c r="H2140" t="s">
        <v>145</v>
      </c>
      <c r="J2140" t="s">
        <v>407</v>
      </c>
      <c r="K2140" s="2">
        <v>62.5</v>
      </c>
      <c r="L2140">
        <v>10</v>
      </c>
      <c r="M2140">
        <f t="shared" si="33"/>
        <v>625</v>
      </c>
    </row>
    <row r="2141" spans="1:13">
      <c r="A2141" t="s">
        <v>405</v>
      </c>
      <c r="B2141" t="s">
        <v>406</v>
      </c>
      <c r="C2141" s="1">
        <v>39551</v>
      </c>
      <c r="D2141" t="s">
        <v>62</v>
      </c>
      <c r="E2141" t="s">
        <v>24</v>
      </c>
      <c r="F2141" t="s">
        <v>63</v>
      </c>
      <c r="G2141" t="s">
        <v>39</v>
      </c>
      <c r="H2141" t="s">
        <v>145</v>
      </c>
      <c r="J2141" t="s">
        <v>407</v>
      </c>
      <c r="K2141" s="2">
        <v>38</v>
      </c>
      <c r="L2141">
        <v>5</v>
      </c>
      <c r="M2141">
        <f t="shared" si="33"/>
        <v>190</v>
      </c>
    </row>
    <row r="2142" spans="1:13">
      <c r="A2142" t="s">
        <v>405</v>
      </c>
      <c r="B2142" t="s">
        <v>406</v>
      </c>
      <c r="C2142" s="1">
        <v>39721</v>
      </c>
      <c r="D2142" t="s">
        <v>111</v>
      </c>
      <c r="E2142" t="s">
        <v>89</v>
      </c>
      <c r="F2142" t="s">
        <v>37</v>
      </c>
      <c r="G2142" t="s">
        <v>17</v>
      </c>
      <c r="H2142" t="s">
        <v>145</v>
      </c>
      <c r="J2142" t="s">
        <v>407</v>
      </c>
      <c r="K2142" s="2">
        <v>14.4</v>
      </c>
      <c r="L2142">
        <v>20</v>
      </c>
      <c r="M2142">
        <f t="shared" si="33"/>
        <v>288</v>
      </c>
    </row>
    <row r="2143" spans="1:13">
      <c r="A2143" t="s">
        <v>405</v>
      </c>
      <c r="B2143" t="s">
        <v>406</v>
      </c>
      <c r="C2143" s="1">
        <v>39481</v>
      </c>
      <c r="D2143" t="s">
        <v>32</v>
      </c>
      <c r="E2143" t="s">
        <v>89</v>
      </c>
      <c r="F2143" t="s">
        <v>33</v>
      </c>
      <c r="G2143" t="s">
        <v>39</v>
      </c>
      <c r="H2143" t="s">
        <v>145</v>
      </c>
      <c r="J2143" t="s">
        <v>407</v>
      </c>
      <c r="K2143" s="2">
        <v>32.799999999999997</v>
      </c>
      <c r="L2143">
        <v>3</v>
      </c>
      <c r="M2143">
        <f t="shared" si="33"/>
        <v>98.399999999999991</v>
      </c>
    </row>
    <row r="2144" spans="1:13">
      <c r="A2144" t="s">
        <v>405</v>
      </c>
      <c r="B2144" t="s">
        <v>406</v>
      </c>
      <c r="C2144" s="1">
        <v>40066</v>
      </c>
      <c r="D2144" t="s">
        <v>96</v>
      </c>
      <c r="E2144" t="s">
        <v>21</v>
      </c>
      <c r="F2144" t="s">
        <v>97</v>
      </c>
      <c r="G2144" t="s">
        <v>17</v>
      </c>
      <c r="H2144" t="s">
        <v>145</v>
      </c>
      <c r="J2144" t="s">
        <v>407</v>
      </c>
      <c r="K2144" s="2">
        <v>18</v>
      </c>
      <c r="L2144">
        <v>10</v>
      </c>
      <c r="M2144">
        <f t="shared" si="33"/>
        <v>180</v>
      </c>
    </row>
    <row r="2145" spans="1:13">
      <c r="A2145" t="s">
        <v>405</v>
      </c>
      <c r="B2145" t="s">
        <v>406</v>
      </c>
      <c r="C2145" s="1">
        <v>40066</v>
      </c>
      <c r="D2145" t="s">
        <v>52</v>
      </c>
      <c r="E2145" t="s">
        <v>21</v>
      </c>
      <c r="F2145" t="s">
        <v>54</v>
      </c>
      <c r="G2145" t="s">
        <v>17</v>
      </c>
      <c r="H2145" t="s">
        <v>145</v>
      </c>
      <c r="J2145" t="s">
        <v>407</v>
      </c>
      <c r="K2145" s="2">
        <v>55</v>
      </c>
      <c r="L2145">
        <v>1</v>
      </c>
      <c r="M2145">
        <f t="shared" si="33"/>
        <v>55</v>
      </c>
    </row>
    <row r="2146" spans="1:13">
      <c r="A2146" t="s">
        <v>405</v>
      </c>
      <c r="B2146" t="s">
        <v>406</v>
      </c>
      <c r="C2146" s="1">
        <v>40066</v>
      </c>
      <c r="D2146" t="s">
        <v>85</v>
      </c>
      <c r="E2146" t="s">
        <v>21</v>
      </c>
      <c r="F2146" t="s">
        <v>33</v>
      </c>
      <c r="G2146" t="s">
        <v>17</v>
      </c>
      <c r="H2146" t="s">
        <v>145</v>
      </c>
      <c r="J2146" t="s">
        <v>407</v>
      </c>
      <c r="K2146" s="2">
        <v>53</v>
      </c>
      <c r="L2146">
        <v>20</v>
      </c>
      <c r="M2146">
        <f t="shared" si="33"/>
        <v>1060</v>
      </c>
    </row>
    <row r="2147" spans="1:13">
      <c r="A2147" t="s">
        <v>405</v>
      </c>
      <c r="B2147" t="s">
        <v>406</v>
      </c>
      <c r="C2147" s="1">
        <v>39551</v>
      </c>
      <c r="D2147" t="s">
        <v>154</v>
      </c>
      <c r="E2147" t="s">
        <v>24</v>
      </c>
      <c r="F2147" t="s">
        <v>132</v>
      </c>
      <c r="G2147" t="s">
        <v>39</v>
      </c>
      <c r="H2147" t="s">
        <v>145</v>
      </c>
      <c r="J2147" t="s">
        <v>407</v>
      </c>
      <c r="K2147" s="2">
        <v>38</v>
      </c>
      <c r="L2147">
        <v>20</v>
      </c>
      <c r="M2147">
        <f t="shared" si="33"/>
        <v>760</v>
      </c>
    </row>
    <row r="2148" spans="1:13">
      <c r="A2148" t="s">
        <v>405</v>
      </c>
      <c r="B2148" t="s">
        <v>406</v>
      </c>
      <c r="C2148" s="1">
        <v>39954</v>
      </c>
      <c r="D2148" t="s">
        <v>171</v>
      </c>
      <c r="E2148" t="s">
        <v>24</v>
      </c>
      <c r="F2148" t="s">
        <v>45</v>
      </c>
      <c r="G2148" t="s">
        <v>17</v>
      </c>
      <c r="H2148" t="s">
        <v>145</v>
      </c>
      <c r="J2148" t="s">
        <v>407</v>
      </c>
      <c r="K2148" s="2">
        <v>14</v>
      </c>
      <c r="L2148">
        <v>7</v>
      </c>
      <c r="M2148">
        <f t="shared" si="33"/>
        <v>98</v>
      </c>
    </row>
    <row r="2149" spans="1:13">
      <c r="A2149" t="s">
        <v>405</v>
      </c>
      <c r="B2149" t="s">
        <v>406</v>
      </c>
      <c r="C2149" s="1">
        <v>39487</v>
      </c>
      <c r="D2149" t="s">
        <v>98</v>
      </c>
      <c r="E2149" t="s">
        <v>67</v>
      </c>
      <c r="F2149" t="s">
        <v>99</v>
      </c>
      <c r="G2149" t="s">
        <v>39</v>
      </c>
      <c r="H2149" t="s">
        <v>145</v>
      </c>
      <c r="J2149" t="s">
        <v>407</v>
      </c>
      <c r="K2149" s="2">
        <v>4.5</v>
      </c>
      <c r="L2149">
        <v>8</v>
      </c>
      <c r="M2149">
        <f t="shared" si="33"/>
        <v>36</v>
      </c>
    </row>
    <row r="2150" spans="1:13">
      <c r="A2150" t="s">
        <v>405</v>
      </c>
      <c r="B2150" t="s">
        <v>406</v>
      </c>
      <c r="C2150" s="1">
        <v>40065</v>
      </c>
      <c r="D2150" t="s">
        <v>82</v>
      </c>
      <c r="E2150" t="s">
        <v>15</v>
      </c>
      <c r="F2150" t="s">
        <v>35</v>
      </c>
      <c r="G2150" t="s">
        <v>17</v>
      </c>
      <c r="H2150" t="s">
        <v>145</v>
      </c>
      <c r="J2150" t="s">
        <v>407</v>
      </c>
      <c r="K2150" s="2">
        <v>12.5</v>
      </c>
      <c r="L2150">
        <v>10</v>
      </c>
      <c r="M2150">
        <f t="shared" si="33"/>
        <v>125</v>
      </c>
    </row>
    <row r="2151" spans="1:13">
      <c r="A2151" t="s">
        <v>408</v>
      </c>
      <c r="B2151" t="s">
        <v>409</v>
      </c>
      <c r="C2151" s="1">
        <v>40110</v>
      </c>
      <c r="D2151" t="s">
        <v>43</v>
      </c>
      <c r="E2151" t="s">
        <v>53</v>
      </c>
      <c r="F2151" t="s">
        <v>41</v>
      </c>
      <c r="G2151" t="s">
        <v>39</v>
      </c>
      <c r="H2151" t="s">
        <v>257</v>
      </c>
      <c r="J2151" t="s">
        <v>258</v>
      </c>
      <c r="K2151" s="2">
        <v>36</v>
      </c>
      <c r="L2151">
        <v>3</v>
      </c>
      <c r="M2151">
        <f t="shared" si="33"/>
        <v>108</v>
      </c>
    </row>
    <row r="2152" spans="1:13">
      <c r="A2152" t="s">
        <v>408</v>
      </c>
      <c r="B2152" t="s">
        <v>409</v>
      </c>
      <c r="C2152" s="1">
        <v>39927</v>
      </c>
      <c r="D2152" t="s">
        <v>116</v>
      </c>
      <c r="E2152" t="s">
        <v>15</v>
      </c>
      <c r="F2152" t="s">
        <v>22</v>
      </c>
      <c r="G2152" t="s">
        <v>17</v>
      </c>
      <c r="H2152" t="s">
        <v>257</v>
      </c>
      <c r="J2152" t="s">
        <v>258</v>
      </c>
      <c r="K2152" s="2">
        <v>15</v>
      </c>
      <c r="L2152">
        <v>6</v>
      </c>
      <c r="M2152">
        <f t="shared" si="33"/>
        <v>90</v>
      </c>
    </row>
    <row r="2153" spans="1:13">
      <c r="A2153" t="s">
        <v>408</v>
      </c>
      <c r="B2153" t="s">
        <v>409</v>
      </c>
      <c r="C2153" s="1">
        <v>39567</v>
      </c>
      <c r="D2153" t="s">
        <v>116</v>
      </c>
      <c r="E2153" t="s">
        <v>15</v>
      </c>
      <c r="F2153" t="s">
        <v>22</v>
      </c>
      <c r="G2153" t="s">
        <v>39</v>
      </c>
      <c r="H2153" t="s">
        <v>257</v>
      </c>
      <c r="J2153" t="s">
        <v>258</v>
      </c>
      <c r="K2153" s="2">
        <v>15</v>
      </c>
      <c r="L2153">
        <v>3</v>
      </c>
      <c r="M2153">
        <f t="shared" si="33"/>
        <v>45</v>
      </c>
    </row>
    <row r="2154" spans="1:13">
      <c r="A2154" t="s">
        <v>408</v>
      </c>
      <c r="B2154" t="s">
        <v>409</v>
      </c>
      <c r="C2154" s="1">
        <v>39927</v>
      </c>
      <c r="D2154" t="s">
        <v>52</v>
      </c>
      <c r="E2154" t="s">
        <v>15</v>
      </c>
      <c r="F2154" t="s">
        <v>54</v>
      </c>
      <c r="G2154" t="s">
        <v>17</v>
      </c>
      <c r="H2154" t="s">
        <v>257</v>
      </c>
      <c r="J2154" t="s">
        <v>258</v>
      </c>
      <c r="K2154" s="2">
        <v>55</v>
      </c>
      <c r="L2154">
        <v>4</v>
      </c>
      <c r="M2154">
        <f t="shared" si="33"/>
        <v>220</v>
      </c>
    </row>
    <row r="2155" spans="1:13">
      <c r="A2155" t="s">
        <v>408</v>
      </c>
      <c r="B2155" t="s">
        <v>409</v>
      </c>
      <c r="C2155" s="1">
        <v>39927</v>
      </c>
      <c r="D2155" t="s">
        <v>120</v>
      </c>
      <c r="E2155" t="s">
        <v>15</v>
      </c>
      <c r="F2155" t="s">
        <v>33</v>
      </c>
      <c r="G2155" t="s">
        <v>17</v>
      </c>
      <c r="H2155" t="s">
        <v>257</v>
      </c>
      <c r="J2155" t="s">
        <v>258</v>
      </c>
      <c r="K2155" s="2">
        <v>7</v>
      </c>
      <c r="L2155">
        <v>6</v>
      </c>
      <c r="M2155">
        <f t="shared" si="33"/>
        <v>42</v>
      </c>
    </row>
    <row r="2156" spans="1:13">
      <c r="A2156" t="s">
        <v>408</v>
      </c>
      <c r="B2156" t="s">
        <v>409</v>
      </c>
      <c r="C2156" s="1">
        <v>40110</v>
      </c>
      <c r="D2156" t="s">
        <v>111</v>
      </c>
      <c r="E2156" t="s">
        <v>53</v>
      </c>
      <c r="F2156" t="s">
        <v>37</v>
      </c>
      <c r="G2156" t="s">
        <v>39</v>
      </c>
      <c r="H2156" t="s">
        <v>257</v>
      </c>
      <c r="J2156" t="s">
        <v>258</v>
      </c>
      <c r="K2156" s="2">
        <v>18</v>
      </c>
      <c r="L2156">
        <v>8</v>
      </c>
      <c r="M2156">
        <f t="shared" si="33"/>
        <v>144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Sheet1</vt:lpstr>
      <vt:lpstr>qrySales</vt:lpstr>
      <vt:lpstr>qrySales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YaBobo</dc:creator>
  <cp:lastModifiedBy>Alexey</cp:lastModifiedBy>
  <dcterms:created xsi:type="dcterms:W3CDTF">2015-09-29T15:27:08Z</dcterms:created>
  <dcterms:modified xsi:type="dcterms:W3CDTF">2021-11-19T17:26:03Z</dcterms:modified>
</cp:coreProperties>
</file>